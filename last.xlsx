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ЭтаКнига"/>
  <bookViews>
    <workbookView windowWidth="19500" windowHeight="7770"/>
  </bookViews>
  <sheets>
    <sheet name="TABE" sheetId="1" r:id="rId1"/>
    <sheet name="Лист2" sheetId="2" r:id="rId2"/>
    <sheet name="Лист3" sheetId="3" r:id="rId3"/>
    <sheet name="XLR_NoRangeSheet" sheetId="4" state="veryHidden" r:id="rId4"/>
  </sheets>
  <definedNames>
    <definedName name="_xlnm._FilterDatabase" localSheetId="0" hidden="1">TABE!$B$6:$H$233</definedName>
    <definedName name="DATA">TABE!$A$7:$H$233</definedName>
    <definedName name="TITLE">TABE!$A$3:$H$3</definedName>
    <definedName name="XLR_ERRNAMESTR" hidden="1">XLR_NoRangeSheet!$B$5</definedName>
    <definedName name="XLR_VERSION" hidden="1">XLR_NoRangeSheet!$A$5</definedName>
  </definedNames>
  <calcPr calcId="144525" refMode="R1C1"/>
</workbook>
</file>

<file path=xl/sharedStrings.xml><?xml version="1.0" encoding="utf-8"?>
<sst xmlns="http://schemas.openxmlformats.org/spreadsheetml/2006/main" count="461" uniqueCount="392">
  <si>
    <t>Дата поставки</t>
  </si>
  <si>
    <t>Наименование</t>
  </si>
  <si>
    <t>Серия</t>
  </si>
  <si>
    <t>Срок годности</t>
  </si>
  <si>
    <t>Цена приходная</t>
  </si>
  <si>
    <t>Цена продажная</t>
  </si>
  <si>
    <t>Кол-во</t>
  </si>
  <si>
    <t>Кол-во лекарства в одной упаковке</t>
  </si>
  <si>
    <t>Цена одного лекарст</t>
  </si>
  <si>
    <t xml:space="preserve"> АМАНТАЛ 200МЛ</t>
  </si>
  <si>
    <t>10824</t>
  </si>
  <si>
    <t>2 МЛ ШПРИЦ</t>
  </si>
  <si>
    <t>0415</t>
  </si>
  <si>
    <t>50 МЛ ШПРИЦ</t>
  </si>
  <si>
    <t>111</t>
  </si>
  <si>
    <t>A-ЛИЗИН 5МГ ФЛ №10</t>
  </si>
  <si>
    <t>5151224</t>
  </si>
  <si>
    <t>АВТОРИЯ ТАБ 25МГ №30</t>
  </si>
  <si>
    <t>АВА44007</t>
  </si>
  <si>
    <t>АДРЕНАЛИН-СОЛОФАРМ АМП 1МГ/МЛ 1МЛ №5</t>
  </si>
  <si>
    <t>050823</t>
  </si>
  <si>
    <t>АЗОПИРАМ 100МЛ</t>
  </si>
  <si>
    <t>025</t>
  </si>
  <si>
    <t>АМБРОКСОЛ ТАБ 30МГ №20</t>
  </si>
  <si>
    <t>4290923</t>
  </si>
  <si>
    <t>АМЕЛОТЕКС ТАБ 15МГ №20</t>
  </si>
  <si>
    <t>170822</t>
  </si>
  <si>
    <t>АМИНОКАПРОНОВАЯ КИСЛОТА МЕР Р-Р Д/ИНФ 5% 100МЛ</t>
  </si>
  <si>
    <t>АМИНОКАПРОНОВАЯ КИСЛОТА Р-Р Д/ИНФ 5% 100МЛ</t>
  </si>
  <si>
    <t>30524</t>
  </si>
  <si>
    <t>АМИТРИПТИЛИН ГРИНДЕКС ТАБ 25МГ №50</t>
  </si>
  <si>
    <t>4010824</t>
  </si>
  <si>
    <t>АМЛОДИПИН ТАБ 10МГ №30</t>
  </si>
  <si>
    <t>4030223</t>
  </si>
  <si>
    <t>АНАЛЬГИН АМП 50% 2МЛ №5</t>
  </si>
  <si>
    <t>80325</t>
  </si>
  <si>
    <t>0525</t>
  </si>
  <si>
    <t>АНГИОКАТЕТЕР KD-FIX 18G (ЗЕЛЕН) №1</t>
  </si>
  <si>
    <t>202208</t>
  </si>
  <si>
    <t>АНГИОКАТЕТЕР KD-FIX 20G (РОЗОВ) №1</t>
  </si>
  <si>
    <t>202203</t>
  </si>
  <si>
    <t>АНГИОКАТЕТЕР KD-FIX 22G (СИНИЙ) №1</t>
  </si>
  <si>
    <t>АНГИОКАТЕТЕР KD-FIX 24G (ЖЕЛТ) №1</t>
  </si>
  <si>
    <t>АРЕПЛЕКС ТАБ 75МГ №28</t>
  </si>
  <si>
    <t>4921</t>
  </si>
  <si>
    <t>АСКОРБИНОВАЯ КИСЛОТА АМП 5% 2МЛ №10</t>
  </si>
  <si>
    <t>831124</t>
  </si>
  <si>
    <t>АТРОПИНА СУЛЬФАТ АМП 1МГ/МЛ 1МЛ №10</t>
  </si>
  <si>
    <t>70124</t>
  </si>
  <si>
    <t>АЦЕТИЛСАЛИЦИЛОВАЯ К-ТА ТАБ 0,5Г №10</t>
  </si>
  <si>
    <t>34050822</t>
  </si>
  <si>
    <t>БАБОЧКА-МИНИВЕН SCALPVEIN 23G (СИНИЙ) №1</t>
  </si>
  <si>
    <t>010101423</t>
  </si>
  <si>
    <t>БЕЛКОСЕР Р-Р Д/ИНФ  200МЛ</t>
  </si>
  <si>
    <t>25100</t>
  </si>
  <si>
    <t>БЕТАДИН 30МЛ</t>
  </si>
  <si>
    <t>0824</t>
  </si>
  <si>
    <t>БИНТ  ЭЛАСТИЧНЫЙ  120ММ Х 5М</t>
  </si>
  <si>
    <t>5</t>
  </si>
  <si>
    <t>БИНТ Н/С МАРЛЕВЫЙ 7Х14</t>
  </si>
  <si>
    <t>1125</t>
  </si>
  <si>
    <t>БИНТ СТЕР МАРЛЕВЫЙ 7Х14</t>
  </si>
  <si>
    <t>0125</t>
  </si>
  <si>
    <t>БЛЕМАРЕН ТАБ ШИПУЧ №20</t>
  </si>
  <si>
    <t>2246</t>
  </si>
  <si>
    <t>БОРНАЯ КИСЛОТА СПИРТ 3% 20Л</t>
  </si>
  <si>
    <t>БРИЛЛИАНТОВЫЙ ЗЕЛЕНЫЙ Р-Р СПИРТ 1% 20МЛ</t>
  </si>
  <si>
    <t>425</t>
  </si>
  <si>
    <t>ВАЗЕЛИН КОСМЕТИЧЕСКИЙ АЛОЭ 100Г</t>
  </si>
  <si>
    <t>02092023</t>
  </si>
  <si>
    <t>ВАЛОДИП ТАБ 10МГ/160МГ №28</t>
  </si>
  <si>
    <t>1124</t>
  </si>
  <si>
    <t>ВЕРОШПИРОН КАПС 100МГ №30</t>
  </si>
  <si>
    <t>48177</t>
  </si>
  <si>
    <t>ВЕСТИНОРМ ТАБ 24МГ №30</t>
  </si>
  <si>
    <t>50324</t>
  </si>
  <si>
    <t>ВИТАМИН В1 АМП 5% 1МЛ №10</t>
  </si>
  <si>
    <t>1024</t>
  </si>
  <si>
    <t>ВИТАМИН В6 АМП 5% 1МЛ №10</t>
  </si>
  <si>
    <t>ВИТАМИН Д3 50000МЕ №8</t>
  </si>
  <si>
    <t>041</t>
  </si>
  <si>
    <t>024</t>
  </si>
  <si>
    <t>ГЕЛЬ ДЛЯ УЗИ 1000Г</t>
  </si>
  <si>
    <t>ГЕПАРИН-ИНДАР Р-Р Д/ИН 5000 МЕ/МЛ 5МЛ №5</t>
  </si>
  <si>
    <t>424</t>
  </si>
  <si>
    <t>ГИДРОКОРТИЗОНА АЦЕТАТ АМП 2,5% 2МЛ №10</t>
  </si>
  <si>
    <t>40425</t>
  </si>
  <si>
    <t>ГЛИЦЕРИН 90МЛ</t>
  </si>
  <si>
    <t>070225</t>
  </si>
  <si>
    <t>ГЛЮКОЗА АМП 40% 10МЛ №10</t>
  </si>
  <si>
    <t>ГЛЮКОЗА АМП 5% 250МЛ</t>
  </si>
  <si>
    <t>0200924</t>
  </si>
  <si>
    <t>ДЕКСАМЕТАЗОН АМП 4МГ/МЛ 1МЛ №25</t>
  </si>
  <si>
    <t>84734</t>
  </si>
  <si>
    <t>ДИАФОРМИН SR ТАБ 1000МГ №60</t>
  </si>
  <si>
    <t>18034453</t>
  </si>
  <si>
    <t>ДИБАЗОЛ АМП 1% 2МЛ №10</t>
  </si>
  <si>
    <t>061124</t>
  </si>
  <si>
    <t>041124</t>
  </si>
  <si>
    <t>ДИКЛОФЕНАК НАТРИЯ АМП 2,5% 3МЛ №10</t>
  </si>
  <si>
    <t>060424</t>
  </si>
  <si>
    <t>ДИКЛОФЕНАК СУПП РЕКТ 100МГ №10</t>
  </si>
  <si>
    <t>325</t>
  </si>
  <si>
    <t>ДИМЕДРОЛ АМП 1% 1МЛ №10</t>
  </si>
  <si>
    <t>40125</t>
  </si>
  <si>
    <t>ДИЦИНОН АМП 250МГ/2МЛ №50</t>
  </si>
  <si>
    <t>МК1847</t>
  </si>
  <si>
    <t>ДОКСИЦИКЛИН ТАБ 100МГ №10</t>
  </si>
  <si>
    <t>20924</t>
  </si>
  <si>
    <t>ДОФАМИН АМП 40МГ/МЛ 5МЛ №10</t>
  </si>
  <si>
    <t>010423</t>
  </si>
  <si>
    <t>ЗЕРКАЛО ВАГИНАЛЬНОЕ TBF Р. М</t>
  </si>
  <si>
    <t>01</t>
  </si>
  <si>
    <t>ЗЕРКАЛО ВАГИНАЛЬНОЕ UKM Р. L</t>
  </si>
  <si>
    <t>ЗОЛМИГРЕН ТАБ 2,5МГ №10</t>
  </si>
  <si>
    <t>40423</t>
  </si>
  <si>
    <t>ЗОНД ЖЕЛУДОЧНЫЙ BEROTUBE CH/FR 16</t>
  </si>
  <si>
    <t>1111</t>
  </si>
  <si>
    <t>ЗОНД ЖЕЛУДОЧНЫЙ BEROTUBE CH/FR 18</t>
  </si>
  <si>
    <t>0002202</t>
  </si>
  <si>
    <t>ЗОНД ЖЕЛУДОЧНЫЙ BEROTUBE CH/FR 20</t>
  </si>
  <si>
    <t>ИГЛА СПИНАЛЬНАЯ (КВИНКЕ) 26G №1</t>
  </si>
  <si>
    <t>ИГЛА СПИНАЛЬНАЯ (ПЕНСИЛ ПОИНТ) 26G №1</t>
  </si>
  <si>
    <t>1</t>
  </si>
  <si>
    <t>ИГЛА СПИНАЛЬНАЯ KD-FINE (КВИНКЕ) 25G №1</t>
  </si>
  <si>
    <t>ИГЛА СПИНАЛЬНАЯ KD-FINE (КВИНКЕ) 26G №1</t>
  </si>
  <si>
    <t>ИДРИНОЛ АМП 100МГ/МЛ 5МЛ №10</t>
  </si>
  <si>
    <t>0324</t>
  </si>
  <si>
    <t>ИНДАП КАПС 2,5МГ №30</t>
  </si>
  <si>
    <t>0231122</t>
  </si>
  <si>
    <t>ИНДАПАМИД-NGP ТАБ 2,5МГ №30</t>
  </si>
  <si>
    <t>ИНОЗИТОЛ КАПС 500МГ №60</t>
  </si>
  <si>
    <t>0325</t>
  </si>
  <si>
    <t>ИНСОРБ Р-Р Д/ИНФ 200МЛ</t>
  </si>
  <si>
    <t>945</t>
  </si>
  <si>
    <t>ИНСУЛАТАРД 100IU/МЛ 10МЛ</t>
  </si>
  <si>
    <t>25</t>
  </si>
  <si>
    <t>ЙОД 5% 20МЛ</t>
  </si>
  <si>
    <t>КАВИНТОН АМП 10МГ/5МЛ №10</t>
  </si>
  <si>
    <t>6046</t>
  </si>
  <si>
    <t>КАВИНТОН ФОРТЕ ТАБ 10МГ №30</t>
  </si>
  <si>
    <t>Т31523В</t>
  </si>
  <si>
    <t>КАЛИЯ ХЛОРИД-MR АМП 4% 10МЛ №10</t>
  </si>
  <si>
    <t>010225</t>
  </si>
  <si>
    <t>КАЛЬЦИЯ ГЛЮКОНАТ АМП 10% 10МЛ №10</t>
  </si>
  <si>
    <t>280624</t>
  </si>
  <si>
    <t>КАЛЬЦИЯ ХЛОРИД АМП 10% 10МЛ №10 (ПЭТ)</t>
  </si>
  <si>
    <t>020125</t>
  </si>
  <si>
    <t>КАМЛАД ТАБ 16МГ/5МГ №30</t>
  </si>
  <si>
    <t>1754</t>
  </si>
  <si>
    <t>1752</t>
  </si>
  <si>
    <t>КАРБАМАЗЕПИН АТМ ТАБ 200МГ №50</t>
  </si>
  <si>
    <t>140424</t>
  </si>
  <si>
    <t>КАСТЕЛЯН-MF 20МЛ</t>
  </si>
  <si>
    <t>01111</t>
  </si>
  <si>
    <t>КАТЕТЕР АСПИРАЦИОННЫЙ CH 12</t>
  </si>
  <si>
    <t>КАТЕТЕР АСПИРАЦИОННЫЙ СH 10</t>
  </si>
  <si>
    <t>КАТЕТЕР НЕЛАТОНА BEROCATH (МУЖ) 14 CH/FR</t>
  </si>
  <si>
    <t>202202</t>
  </si>
  <si>
    <t>КАТЕТЕР ФОЛЕЯ BEROCATH 12G №1</t>
  </si>
  <si>
    <t>КАТЕТЕР ФОЛЕЯ BEROCATH 14G №1</t>
  </si>
  <si>
    <t>КАТЕТЕР ФОЛЕЯ BEROCATH 16G №1</t>
  </si>
  <si>
    <t>КАТЕТЕР ФОЛЕЯ BEROCATH 20G №1</t>
  </si>
  <si>
    <t>202303</t>
  </si>
  <si>
    <t>КАТЕТЕР ФОЛЕЯ BEROCATH 24G №1</t>
  </si>
  <si>
    <t>КЕТОНАЛ АМП 100МГ/2МЛ №10</t>
  </si>
  <si>
    <t>5354</t>
  </si>
  <si>
    <t>КЕТОПРОФЕН АМП 100МГ/2МЛ №10</t>
  </si>
  <si>
    <t>90624</t>
  </si>
  <si>
    <t>КЕТОТИФЕН ТАБ 1МГ №30</t>
  </si>
  <si>
    <t>31470823</t>
  </si>
  <si>
    <t>31030523</t>
  </si>
  <si>
    <t>КО-АМЛЕССА ТАБ 4МГ/10МГ/1,25МГ №30</t>
  </si>
  <si>
    <t>9327</t>
  </si>
  <si>
    <t>КОКАРБОКСИЛАЗА ПОР Д/ИН 50МГ №5</t>
  </si>
  <si>
    <t>КОНКОР ТАБ 5МГ №50</t>
  </si>
  <si>
    <t>027</t>
  </si>
  <si>
    <t>КОНТЕЙНЕР ДЛЯ МОЧИ 100МЛ</t>
  </si>
  <si>
    <t>КОНТУР ДЫХАТЕЛЬНЫЙ С МЕШКОМ 2Л, ДЛЯ ДЕТЕЙ</t>
  </si>
  <si>
    <t>0025</t>
  </si>
  <si>
    <t>КОРАЛИН АМП 25% 4МЛ №10</t>
  </si>
  <si>
    <t>0021023</t>
  </si>
  <si>
    <t>КОРДИАМИН АМП 250МГ/МЛ 2МЛ №10</t>
  </si>
  <si>
    <t>00002</t>
  </si>
  <si>
    <t>КОРТЕКСИН 10МГ ФЛ №10</t>
  </si>
  <si>
    <t>0225</t>
  </si>
  <si>
    <t>КОФЕИН-БЕНЗОАТ НАТРИЯ АМП 20% 1МЛ №10**</t>
  </si>
  <si>
    <t>0003</t>
  </si>
  <si>
    <t>КОЭНЗИМ Q10 МАКС КАПС №40</t>
  </si>
  <si>
    <t>QM43</t>
  </si>
  <si>
    <t>КРАНИК 3-Х ХОДОВОЙ Д/ИНФ МАГИСТРАЛЕЙ</t>
  </si>
  <si>
    <t>010202</t>
  </si>
  <si>
    <t>КРАФТ ПАКЕТ ПАРАВОЙ  150ММ*200 М</t>
  </si>
  <si>
    <t>КСАВРОН Р-Р Д/ИНФ 1,5МГ/МЛ 20МЛ №10</t>
  </si>
  <si>
    <t>115</t>
  </si>
  <si>
    <t>ЛЕВИМИКОЛ-MR МАЗЬ 30Г</t>
  </si>
  <si>
    <t>224</t>
  </si>
  <si>
    <t>ЛЕВОФЛОКСАЦИН Р-Р Д/ИНФ 5МГ/МЛ 100МЛ</t>
  </si>
  <si>
    <t>ЛЕЙКОПЛАСТЫРЬ 19Х72ММ №500</t>
  </si>
  <si>
    <t>ЛЕРКАМЕН ТАБ 10МГ №28</t>
  </si>
  <si>
    <t>32058В</t>
  </si>
  <si>
    <t>ЛЕСЦИНАТ АМП 5МЛ №10**</t>
  </si>
  <si>
    <t>1223</t>
  </si>
  <si>
    <t>ЛИДОКАИНА Г/Х АМП 2% 2МЛ №10 (ПЭТ)</t>
  </si>
  <si>
    <t>А050124</t>
  </si>
  <si>
    <t>ЛИЗАТИОН ПОР Д/ИН 600МГ/3МЛ №10</t>
  </si>
  <si>
    <t>40048</t>
  </si>
  <si>
    <t>ЛИНИМЕНТ БАЛЬЗАМ ПО ВИШНЕВСКОМУ 40Г</t>
  </si>
  <si>
    <t>ЛИПОСОМ ФОРТЕ АМП 28МГ/МЛ 2МЛ №5</t>
  </si>
  <si>
    <t>0940</t>
  </si>
  <si>
    <t>Л-ЛИЗИНА ЭСЦИНАТ АМП 5МЛ №10**</t>
  </si>
  <si>
    <t>70125</t>
  </si>
  <si>
    <t>ЛОРИСТА ТАБ 50МГ №28</t>
  </si>
  <si>
    <t>DC9703</t>
  </si>
  <si>
    <t>ЛЮГОЛЯ РАСТВОР С ГЛИЦЕРИНОМ 20МЛ</t>
  </si>
  <si>
    <t>МАГНИЯ СУЛЬФАТ АМП 25% 10МЛ №10 (ПЭТ)</t>
  </si>
  <si>
    <t>340724</t>
  </si>
  <si>
    <t>МАРЛЯ 10М</t>
  </si>
  <si>
    <t>МАРЛЯ 1М</t>
  </si>
  <si>
    <t>277</t>
  </si>
  <si>
    <t>МАРЛЯ 5М</t>
  </si>
  <si>
    <t>380</t>
  </si>
  <si>
    <t>МАСКА ЛИЦЕВАЯ CLINIC CLEAN №5</t>
  </si>
  <si>
    <t>МЕЗАТОН АМП 1% 1МЛ №10**</t>
  </si>
  <si>
    <t>10924</t>
  </si>
  <si>
    <t>МЕТРАЛИН Р-Р Д/ИНФ 0,5% 100МЛ</t>
  </si>
  <si>
    <t>0210624</t>
  </si>
  <si>
    <t>МЕТРОНИДАЗОЛ Р-Р Д/ИНФ 100МЛ</t>
  </si>
  <si>
    <t>5069</t>
  </si>
  <si>
    <t>МОНОСАН ТАБ 20МГ №30**</t>
  </si>
  <si>
    <t>0161222</t>
  </si>
  <si>
    <t>МОНОСАН ТАБ 40МГ №30</t>
  </si>
  <si>
    <t>9121022</t>
  </si>
  <si>
    <t>МОЧЕПРИЕМНИК 2000МЛ</t>
  </si>
  <si>
    <t>20221118</t>
  </si>
  <si>
    <t>МУКАЛТИН ТАБ 50МГ №50</t>
  </si>
  <si>
    <t>1023</t>
  </si>
  <si>
    <t>НАКОНЕЧНИК ДЛЯ ПИПЕТОК 1000МКЛ</t>
  </si>
  <si>
    <t>НАТРИЯ ТИОСУЛЬФАТ Р-Р 30% 10МЛ И_10</t>
  </si>
  <si>
    <t>130224</t>
  </si>
  <si>
    <t>180524</t>
  </si>
  <si>
    <t>НАТРИЯ ХЛОРИД 500 МЛ</t>
  </si>
  <si>
    <t>0270325</t>
  </si>
  <si>
    <t>НАФТИЗИН 0,1% 15МЛ</t>
  </si>
  <si>
    <t>124</t>
  </si>
  <si>
    <t>НИКАПИМ ПОР Д/ИН 1,0Г ФЛ №1</t>
  </si>
  <si>
    <t>2024002</t>
  </si>
  <si>
    <t>НИМЕФАСТ ПОРОШОК 100МГ №30</t>
  </si>
  <si>
    <t>23051</t>
  </si>
  <si>
    <t>НИСТАТИН ТАБ 500 000ЕД №20</t>
  </si>
  <si>
    <t>261222</t>
  </si>
  <si>
    <t>НОВОКАИН АМП 0,5% 10МЛ №10 (ПЭТ)</t>
  </si>
  <si>
    <t>НОВОКАИН АМП 0,5% 5МЛ №10 (ПЭТ)</t>
  </si>
  <si>
    <t>20125</t>
  </si>
  <si>
    <t>НОЛЬПАЗА ПОР Д/ИН 40МГ ФЛ №1</t>
  </si>
  <si>
    <t>92809</t>
  </si>
  <si>
    <t>НО-ШПА АМП 40МГ 2МЛ №25</t>
  </si>
  <si>
    <t>675</t>
  </si>
  <si>
    <t>ОКСИТОЦИН АМП 5МЕ/МЛ 1МЛ №10</t>
  </si>
  <si>
    <t>091224</t>
  </si>
  <si>
    <t>ПАПАВЕРИНА Г/Х АМП 2% 2МЛ №10</t>
  </si>
  <si>
    <t>50924</t>
  </si>
  <si>
    <t>ПАРАЦЕТАМОЛ СУПП РЕКТ 250МГ №10</t>
  </si>
  <si>
    <t>60623</t>
  </si>
  <si>
    <t>ПАРАЦЕТАМОЛ ТАБ 500МГ №10</t>
  </si>
  <si>
    <t>321023</t>
  </si>
  <si>
    <t>ПЕНТОКСИФИЛЛИН АМП 2% 5МЛ №5</t>
  </si>
  <si>
    <t>ПЕРЕКИСЬ ВОДОРОДА 3% 100МЛ</t>
  </si>
  <si>
    <t>2025</t>
  </si>
  <si>
    <t>ПЕРЧАТКИ ДЛЯ КОСМЕТИЧЕСКИХ ПРОЦЕДУР NOVUM Р. L (СИНИЙ)</t>
  </si>
  <si>
    <t>ПЕРЧАТКИ ДЛЯ КОСМЕТИЧЕСКИХ ПРОЦЕДУР NOVUM Р. М (СИНИЙ)</t>
  </si>
  <si>
    <t>ПЕРЧАТКИ СТЕР ХИРУРГ DENTAFILL Р. 8,0 №1</t>
  </si>
  <si>
    <t>ПЕРЧАТКИ СТЕР ХИРУРГ Р. 7,0 №1</t>
  </si>
  <si>
    <t>ПИРАЦЕТАМ АМП 20% 5МЛ №10 (ПЭТ)</t>
  </si>
  <si>
    <t>ПИРИДОКСИН АМП 5% 1МЛ №10</t>
  </si>
  <si>
    <t>070822</t>
  </si>
  <si>
    <t>ПИРОТИН АМП 10МЛ №10</t>
  </si>
  <si>
    <t>25006</t>
  </si>
  <si>
    <t>ПЛАТИФИЛЛИНА Г/Т АМП 0,2% 1МЛ №10</t>
  </si>
  <si>
    <t>530923</t>
  </si>
  <si>
    <t>ПОЛИОКСИДОНИЙ ЛИОФ Д/ИН 6МГ ФЛ №5</t>
  </si>
  <si>
    <t>ПРЕДНИЗОЛОН АМП 30МГ/МЛ 1МЛ №10</t>
  </si>
  <si>
    <t>131222</t>
  </si>
  <si>
    <t>ПРЕСТОЗЕК ТАБ 4МГ/5МГ №30</t>
  </si>
  <si>
    <t>5883</t>
  </si>
  <si>
    <t>ПРОЗЕРИН АМП 0,5МГ/МЛ 1МЛ №10</t>
  </si>
  <si>
    <t>225</t>
  </si>
  <si>
    <t>ПРОСТАКОР АМП 5МГ/МЛ 1МЛ №10</t>
  </si>
  <si>
    <t>ПРОСТЫНЯ ХИРУРГИЧЕСКАЯ 160Х250</t>
  </si>
  <si>
    <t>063020001</t>
  </si>
  <si>
    <t>ПРОСУЛЬПИН ТАБ 200МГ №30</t>
  </si>
  <si>
    <t>9040624</t>
  </si>
  <si>
    <t>РЕОСАРБИЛ 250 МЛ</t>
  </si>
  <si>
    <t>РЕОСОРБИЛАКТ Р-Р Д/ИНФ 200МЛ</t>
  </si>
  <si>
    <t>1075</t>
  </si>
  <si>
    <t>РИБОКСИН АМП 2% 10МЛ №10</t>
  </si>
  <si>
    <t>051123</t>
  </si>
  <si>
    <t>РИНАЗОЛИН КАПЛИ 0,1МГ/МЛ 10МЛ</t>
  </si>
  <si>
    <t>10823</t>
  </si>
  <si>
    <t>РИНАЗОЛИН СПРЕЙ 0,5МГ/МЛ 15МЛ</t>
  </si>
  <si>
    <t>30823</t>
  </si>
  <si>
    <t>РИНОКСИЛ КИДС СПРЕЙ 0,025% 10МЛ</t>
  </si>
  <si>
    <t>170823</t>
  </si>
  <si>
    <t>РОКСЕРА ТАБ 20МГ №30</t>
  </si>
  <si>
    <t>0753</t>
  </si>
  <si>
    <t>РОТАЛФЕН АМП 50МГ/2МЛ 2МЛ №5</t>
  </si>
  <si>
    <t>02123</t>
  </si>
  <si>
    <t>РУМАЛОН АМП 1МЛ №50</t>
  </si>
  <si>
    <t>4161</t>
  </si>
  <si>
    <t>СЕРМИГОЛИН ЛИОФ 4МГ/10МЛ №1+НАТРИЙ ХЛОР 0,9% 5МЛ</t>
  </si>
  <si>
    <t>10723</t>
  </si>
  <si>
    <t>СЕРНИТИН ЛЕВОКАРНИТИН-LP АМП 100МГ/5МЛ №5</t>
  </si>
  <si>
    <t>25011</t>
  </si>
  <si>
    <t>СИНУПРЕТ ТАБ №50</t>
  </si>
  <si>
    <t>2316510933520</t>
  </si>
  <si>
    <t>СИСТЕМА ИНФУЗИОННАЯ</t>
  </si>
  <si>
    <t>0610</t>
  </si>
  <si>
    <t>СКАЛЬПЕЛЬ BEROBLADE Р. 15 №1</t>
  </si>
  <si>
    <t>СКАЛЬПЕЛЬ BEROBLADE Р. 22 №1</t>
  </si>
  <si>
    <t>СПАЗГАН ТАБ №100</t>
  </si>
  <si>
    <t>DX10689</t>
  </si>
  <si>
    <t>СПАЗМАЛГОН АМП 5МЛ №5</t>
  </si>
  <si>
    <t>1861</t>
  </si>
  <si>
    <t>СПАРК КАПС 200МГ №30</t>
  </si>
  <si>
    <t>40823</t>
  </si>
  <si>
    <t>СПИРТ 70% 50МЛ</t>
  </si>
  <si>
    <t>СПИРТ 96/5% КГ</t>
  </si>
  <si>
    <t>349</t>
  </si>
  <si>
    <t>СУПЕРКАМ МЕР АМП 2МЛ №10</t>
  </si>
  <si>
    <t>СУПРАСТИН АМП 1МЛ №5</t>
  </si>
  <si>
    <t>ТАМСОЛ КАПС 0,4МГ №30</t>
  </si>
  <si>
    <t>114</t>
  </si>
  <si>
    <t>ТАНЕФРО ТАБ №60</t>
  </si>
  <si>
    <t>ТЕВАРТЕМ Р-Р Д/ИНФ 4,2% 100МЛ</t>
  </si>
  <si>
    <t>0100625</t>
  </si>
  <si>
    <t>ТЕСТ ПОЛОСКА COUNTUR PLUS  №50 (К ГЛЮКОМЕТРУ) ДЛЯ ИЗ ГЛЮК.</t>
  </si>
  <si>
    <t>411А</t>
  </si>
  <si>
    <t>ТИОГАММА Р-Р Д/ИНФ 50МЛ ФЛ №10</t>
  </si>
  <si>
    <t>50218</t>
  </si>
  <si>
    <t>ТИРОЗОЛ ТАБ 10МГ №50</t>
  </si>
  <si>
    <t>g01R8W</t>
  </si>
  <si>
    <t>ТИТРИЗОЛ АМП 2,5% 4МЛ №10**</t>
  </si>
  <si>
    <t>0010724</t>
  </si>
  <si>
    <t>ТРАНЕКСЕР АМП 5МЛ №5</t>
  </si>
  <si>
    <t>25008</t>
  </si>
  <si>
    <t>ТРОМБОНЕТ ТАБ 0,075Г №60</t>
  </si>
  <si>
    <t>10124</t>
  </si>
  <si>
    <t>ТРУБКА  ТРАХЕОТОМИЧЕСКАЯ С МАНЖЕТОЙ 5,5ММ</t>
  </si>
  <si>
    <t>ТРУБКА ТРАХЕОТОМИЧЕСКАЯ RUSTMOMED С МАНЖЕТОЙ 4,5ММ</t>
  </si>
  <si>
    <t>УРОЛЕСАН КАПС №40</t>
  </si>
  <si>
    <t>9069</t>
  </si>
  <si>
    <t>ФАРМАДИПИН КАПЛИ 2% 25МЛ</t>
  </si>
  <si>
    <t>91023</t>
  </si>
  <si>
    <t>ФЕНОЛФТЛАЕИН 100МЛ</t>
  </si>
  <si>
    <t>ФЛЕНОКС 4000 АНТИ-ХА МЕ/0,4МЛ №10</t>
  </si>
  <si>
    <t>ФОЛИЕВАЯ КИСЛОТА ТАБ 1МГ №50</t>
  </si>
  <si>
    <t>3970523</t>
  </si>
  <si>
    <t>ФУРАЦИЛИН ТАБ 20МГ №10</t>
  </si>
  <si>
    <t>1381124</t>
  </si>
  <si>
    <t>ФУРОСЕМИД АМП 1% 2МЛ №10</t>
  </si>
  <si>
    <t>30824</t>
  </si>
  <si>
    <t>ФУЦИС ГЕЛЬ 0,5% 30Г</t>
  </si>
  <si>
    <t>1001854</t>
  </si>
  <si>
    <t>ХАЛАТ МЕДИЦИНСКИЙ</t>
  </si>
  <si>
    <t>ХЛОРИД НАТРИЯ АМП 0,9% 10МЛ №10 (ПЭТ)</t>
  </si>
  <si>
    <t>Н010224</t>
  </si>
  <si>
    <t>ЦЕРЕБРОЛИЗИН АМП 10МЛ №5</t>
  </si>
  <si>
    <t>1А</t>
  </si>
  <si>
    <t>ЦЕРЕБРОЛИЗИН АМП 5МЛ №5</t>
  </si>
  <si>
    <t>F2FX</t>
  </si>
  <si>
    <t>ЦЕФТРИАКСОН 1,0Г ФЛ №50</t>
  </si>
  <si>
    <t>0524</t>
  </si>
  <si>
    <t>ЦИКЛОФЕРОН АМП 12,5% 2МЛ №5</t>
  </si>
  <si>
    <t>3711024</t>
  </si>
  <si>
    <t>ЦИТОФЛАВИН Р-Р Д/ИН 10МЛ №10</t>
  </si>
  <si>
    <t>990624</t>
  </si>
  <si>
    <t>ЦИТРАМОН П №20</t>
  </si>
  <si>
    <t>50923</t>
  </si>
  <si>
    <t>ШАПОЧКА ДЛЯ ВОЛОС</t>
  </si>
  <si>
    <t>ШАПОЧКА ШАРЛОТКА №100</t>
  </si>
  <si>
    <t>ШПРИЦ-5</t>
  </si>
  <si>
    <t>0615</t>
  </si>
  <si>
    <t>ШПРИЦ-РУЧКА Д/ИНСУЛИНА 1 МЛ</t>
  </si>
  <si>
    <t>ЭКСТРА ДЕЗ 1Л</t>
  </si>
  <si>
    <t>ЭРИНИТ ТАБ 10МГ №50</t>
  </si>
  <si>
    <t>110823</t>
  </si>
  <si>
    <t>ЭССЕНЦИАЛЕ Н АМП 5МЛ №5</t>
  </si>
  <si>
    <t>30787</t>
  </si>
  <si>
    <t>ЭУТИРОКС ТАБ 100МКГ №100</t>
  </si>
  <si>
    <t>ЭУФИЛЛИН АМП 2,4% 5МЛ №10</t>
  </si>
  <si>
    <t>50325</t>
  </si>
  <si>
    <t>4.2, Developer  (build 122-D7)</t>
  </si>
</sst>
</file>

<file path=xl/styles.xml><?xml version="1.0" encoding="utf-8"?>
<styleSheet xmlns="http://schemas.openxmlformats.org/spreadsheetml/2006/main">
  <numFmts count="5">
    <numFmt numFmtId="176" formatCode="#,##0.000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  <numFmt numFmtId="178" formatCode="_ * #,##0_ ;_ * \-#,##0_ ;_ * &quot;-&quot;_ ;_ @_ "/>
  </numFmts>
  <fonts count="24">
    <font>
      <sz val="10"/>
      <name val="Arial Cyr"/>
      <charset val="204"/>
    </font>
    <font>
      <b/>
      <sz val="16"/>
      <name val="Arial Cyr"/>
      <charset val="204"/>
    </font>
    <font>
      <b/>
      <sz val="14"/>
      <name val="Arial Cyr"/>
      <charset val="204"/>
    </font>
    <font>
      <b/>
      <sz val="10"/>
      <name val="Arial Cyr"/>
      <charset val="20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2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3" fillId="7" borderId="11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10" borderId="7" applyNumberFormat="0" applyFon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8" fillId="23" borderId="8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58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 vertical="center" wrapText="1"/>
    </xf>
    <xf numFmtId="58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58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58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3" fillId="2" borderId="2" xfId="0" applyFont="1" applyFill="1" applyBorder="1" applyAlignment="1">
      <alignment horizontal="center" vertical="center" wrapText="1"/>
    </xf>
    <xf numFmtId="4" fontId="0" fillId="0" borderId="2" xfId="0" applyNumberFormat="1" applyFill="1" applyBorder="1" applyAlignment="1">
      <alignment horizontal="right"/>
    </xf>
    <xf numFmtId="4" fontId="0" fillId="0" borderId="3" xfId="0" applyNumberFormat="1" applyFill="1" applyBorder="1" applyAlignment="1">
      <alignment horizontal="right"/>
    </xf>
    <xf numFmtId="58" fontId="0" fillId="2" borderId="1" xfId="0" applyNumberFormat="1" applyFill="1" applyBorder="1"/>
    <xf numFmtId="0" fontId="0" fillId="2" borderId="1" xfId="0" applyFill="1" applyBorder="1"/>
    <xf numFmtId="4" fontId="0" fillId="2" borderId="1" xfId="0" applyNumberFormat="1" applyFill="1" applyBorder="1" applyAlignment="1">
      <alignment horizontal="right"/>
    </xf>
    <xf numFmtId="176" fontId="3" fillId="2" borderId="1" xfId="0" applyNumberFormat="1" applyFont="1" applyFill="1" applyBorder="1" applyAlignment="1">
      <alignment horizontal="right"/>
    </xf>
    <xf numFmtId="0" fontId="0" fillId="0" borderId="0" xfId="0" quotePrefix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1"/>
  <dimension ref="A1:J233"/>
  <sheetViews>
    <sheetView tabSelected="1" workbookViewId="0">
      <pane xSplit="1" ySplit="6" topLeftCell="B7" activePane="bottomRight" state="frozen"/>
      <selection/>
      <selection pane="topRight"/>
      <selection pane="bottomLeft"/>
      <selection pane="bottomRight" activeCell="A228" sqref="$A228:$XFD228"/>
    </sheetView>
  </sheetViews>
  <sheetFormatPr defaultColWidth="9" defaultRowHeight="12.75"/>
  <cols>
    <col min="1" max="1" width="0.285714285714286" customWidth="1"/>
    <col min="2" max="2" width="10" style="2" customWidth="1"/>
    <col min="3" max="3" width="46" customWidth="1"/>
    <col min="4" max="4" width="13" customWidth="1"/>
    <col min="5" max="5" width="11.7142857142857" style="2" customWidth="1"/>
    <col min="6" max="8" width="16.4285714285714" customWidth="1"/>
  </cols>
  <sheetData>
    <row r="1" spans="9:9">
      <c r="I1" s="2">
        <f>-E176</f>
        <v>-46447</v>
      </c>
    </row>
    <row r="2" ht="19.5" spans="2:8">
      <c r="B2" s="3"/>
      <c r="C2" s="3"/>
      <c r="D2" s="3"/>
      <c r="E2" s="3"/>
      <c r="F2" s="3"/>
      <c r="G2" s="3"/>
      <c r="H2" s="3"/>
    </row>
    <row r="3" ht="18" customHeight="1" spans="2:8">
      <c r="B3" s="4"/>
      <c r="C3" s="4"/>
      <c r="D3" s="4"/>
      <c r="E3" s="4"/>
      <c r="F3" s="4"/>
      <c r="G3" s="4"/>
      <c r="H3" s="4"/>
    </row>
    <row r="4" ht="15.75" customHeight="1"/>
    <row r="6" ht="76.5" spans="1:10">
      <c r="A6" s="5"/>
      <c r="B6" s="6" t="s">
        <v>0</v>
      </c>
      <c r="C6" s="7" t="s">
        <v>1</v>
      </c>
      <c r="D6" s="7" t="s">
        <v>2</v>
      </c>
      <c r="E6" s="6" t="s">
        <v>3</v>
      </c>
      <c r="F6" s="7" t="s">
        <v>4</v>
      </c>
      <c r="G6" s="7" t="s">
        <v>5</v>
      </c>
      <c r="H6" s="7" t="s">
        <v>6</v>
      </c>
      <c r="I6" s="13" t="s">
        <v>7</v>
      </c>
      <c r="J6" t="s">
        <v>8</v>
      </c>
    </row>
    <row r="7" s="1" customFormat="1" ht="32.25" customHeight="1" spans="1:10">
      <c r="A7"/>
      <c r="B7" s="8">
        <v>45878</v>
      </c>
      <c r="C7" s="9" t="s">
        <v>9</v>
      </c>
      <c r="D7" s="10" t="s">
        <v>10</v>
      </c>
      <c r="E7" s="11">
        <v>46600</v>
      </c>
      <c r="F7" s="10">
        <v>134608</v>
      </c>
      <c r="G7" s="10">
        <v>180913.15</v>
      </c>
      <c r="H7" s="12">
        <v>20</v>
      </c>
      <c r="I7" s="1">
        <v>1</v>
      </c>
      <c r="J7">
        <f t="shared" ref="J7:J60" si="0">SUM(G7/I7)</f>
        <v>180913.15</v>
      </c>
    </row>
    <row r="8" customHeight="1" spans="2:10">
      <c r="B8" s="8">
        <v>45884</v>
      </c>
      <c r="C8" s="9" t="s">
        <v>11</v>
      </c>
      <c r="D8" s="10" t="s">
        <v>12</v>
      </c>
      <c r="E8" s="11">
        <v>46844</v>
      </c>
      <c r="F8" s="10">
        <v>331.24</v>
      </c>
      <c r="G8" s="10">
        <v>445.19</v>
      </c>
      <c r="H8" s="12">
        <v>700</v>
      </c>
      <c r="I8" s="14">
        <v>1</v>
      </c>
      <c r="J8">
        <f t="shared" si="0"/>
        <v>445.19</v>
      </c>
    </row>
    <row r="9" customHeight="1" spans="2:10">
      <c r="B9" s="8">
        <v>45316</v>
      </c>
      <c r="C9" s="9" t="s">
        <v>13</v>
      </c>
      <c r="D9" s="10" t="s">
        <v>14</v>
      </c>
      <c r="E9" s="11">
        <v>47331</v>
      </c>
      <c r="F9" s="10">
        <v>6956.52</v>
      </c>
      <c r="G9" s="10">
        <v>8000</v>
      </c>
      <c r="H9" s="12">
        <v>73</v>
      </c>
      <c r="I9" s="14">
        <v>1</v>
      </c>
      <c r="J9">
        <f t="shared" si="0"/>
        <v>8000</v>
      </c>
    </row>
    <row r="10" customHeight="1" spans="2:10">
      <c r="B10" s="8">
        <v>45812</v>
      </c>
      <c r="C10" s="9" t="s">
        <v>15</v>
      </c>
      <c r="D10" s="10" t="s">
        <v>16</v>
      </c>
      <c r="E10" s="11">
        <v>46388</v>
      </c>
      <c r="F10" s="10">
        <v>82539.52</v>
      </c>
      <c r="G10" s="10">
        <v>110933.11</v>
      </c>
      <c r="H10" s="12">
        <v>8</v>
      </c>
      <c r="I10" s="14">
        <v>10</v>
      </c>
      <c r="J10">
        <f t="shared" si="0"/>
        <v>11093.311</v>
      </c>
    </row>
    <row r="11" customHeight="1" spans="2:10">
      <c r="B11" s="8">
        <v>45736</v>
      </c>
      <c r="C11" s="9" t="s">
        <v>17</v>
      </c>
      <c r="D11" s="10" t="s">
        <v>18</v>
      </c>
      <c r="E11" s="11">
        <v>46447</v>
      </c>
      <c r="F11" s="10">
        <v>61859.84</v>
      </c>
      <c r="G11" s="10">
        <v>83139.63</v>
      </c>
      <c r="H11" s="12">
        <v>7</v>
      </c>
      <c r="I11" s="15">
        <v>30</v>
      </c>
      <c r="J11">
        <f t="shared" si="0"/>
        <v>2771.321</v>
      </c>
    </row>
    <row r="12" customHeight="1" spans="2:10">
      <c r="B12" s="8">
        <v>45316</v>
      </c>
      <c r="C12" s="9" t="s">
        <v>19</v>
      </c>
      <c r="D12" s="10" t="s">
        <v>20</v>
      </c>
      <c r="E12" s="11">
        <v>46204</v>
      </c>
      <c r="F12" s="10">
        <v>26086.96</v>
      </c>
      <c r="G12" s="10">
        <v>30000</v>
      </c>
      <c r="H12" s="12">
        <v>3</v>
      </c>
      <c r="I12" s="15">
        <v>5</v>
      </c>
      <c r="J12">
        <f t="shared" si="0"/>
        <v>6000</v>
      </c>
    </row>
    <row r="13" customHeight="1" spans="2:10">
      <c r="B13" s="8">
        <v>45856</v>
      </c>
      <c r="C13" s="9" t="s">
        <v>21</v>
      </c>
      <c r="D13" s="10" t="s">
        <v>22</v>
      </c>
      <c r="E13" s="11">
        <v>47484</v>
      </c>
      <c r="F13" s="10">
        <v>44000</v>
      </c>
      <c r="G13" s="10">
        <v>59136</v>
      </c>
      <c r="H13" s="12">
        <v>2</v>
      </c>
      <c r="I13" s="15">
        <v>1</v>
      </c>
      <c r="J13">
        <f t="shared" si="0"/>
        <v>59136</v>
      </c>
    </row>
    <row r="14" customHeight="1" spans="2:10">
      <c r="B14" s="8">
        <v>45316</v>
      </c>
      <c r="C14" s="9" t="s">
        <v>23</v>
      </c>
      <c r="D14" s="10" t="s">
        <v>24</v>
      </c>
      <c r="E14" s="11">
        <v>46266</v>
      </c>
      <c r="F14" s="10">
        <v>6260.87</v>
      </c>
      <c r="G14" s="10">
        <v>7200</v>
      </c>
      <c r="H14" s="12">
        <v>1</v>
      </c>
      <c r="I14" s="15">
        <v>20</v>
      </c>
      <c r="J14">
        <f t="shared" si="0"/>
        <v>360</v>
      </c>
    </row>
    <row r="15" customHeight="1" spans="2:10">
      <c r="B15" s="8">
        <v>45316</v>
      </c>
      <c r="C15" s="9" t="s">
        <v>25</v>
      </c>
      <c r="D15" s="10" t="s">
        <v>26</v>
      </c>
      <c r="E15" s="11">
        <v>46419</v>
      </c>
      <c r="F15" s="10">
        <v>33043.48</v>
      </c>
      <c r="G15" s="10">
        <v>38000</v>
      </c>
      <c r="H15" s="12">
        <v>5.5</v>
      </c>
      <c r="I15" s="15">
        <v>20</v>
      </c>
      <c r="J15">
        <f t="shared" si="0"/>
        <v>1900</v>
      </c>
    </row>
    <row r="16" customHeight="1" spans="2:10">
      <c r="B16" s="8">
        <v>45693</v>
      </c>
      <c r="C16" s="9" t="s">
        <v>27</v>
      </c>
      <c r="D16" s="10" t="s">
        <v>14</v>
      </c>
      <c r="E16" s="11">
        <v>46174</v>
      </c>
      <c r="F16" s="10">
        <v>11304.35</v>
      </c>
      <c r="G16" s="10">
        <v>13000</v>
      </c>
      <c r="H16" s="12">
        <v>6</v>
      </c>
      <c r="I16" s="15">
        <v>1</v>
      </c>
      <c r="J16">
        <f t="shared" si="0"/>
        <v>13000</v>
      </c>
    </row>
    <row r="17" customHeight="1" spans="2:10">
      <c r="B17" s="8">
        <v>45666</v>
      </c>
      <c r="C17" s="9" t="s">
        <v>28</v>
      </c>
      <c r="D17" s="10" t="s">
        <v>29</v>
      </c>
      <c r="E17" s="11">
        <v>46174</v>
      </c>
      <c r="F17" s="10">
        <v>11418.4</v>
      </c>
      <c r="G17" s="10">
        <v>13000</v>
      </c>
      <c r="H17" s="12">
        <v>10</v>
      </c>
      <c r="I17" s="15">
        <v>1</v>
      </c>
      <c r="J17">
        <f t="shared" si="0"/>
        <v>13000</v>
      </c>
    </row>
    <row r="18" customHeight="1" spans="2:10">
      <c r="B18" s="8">
        <v>45736</v>
      </c>
      <c r="C18" s="9" t="s">
        <v>30</v>
      </c>
      <c r="D18" s="10" t="s">
        <v>31</v>
      </c>
      <c r="E18" s="11">
        <v>46966</v>
      </c>
      <c r="F18" s="10">
        <v>19216.96</v>
      </c>
      <c r="G18" s="10">
        <v>25827.59</v>
      </c>
      <c r="H18" s="12">
        <v>5</v>
      </c>
      <c r="I18" s="15">
        <v>30</v>
      </c>
      <c r="J18">
        <f t="shared" si="0"/>
        <v>860.919666666667</v>
      </c>
    </row>
    <row r="19" customHeight="1" spans="2:10">
      <c r="B19" s="8">
        <v>45316</v>
      </c>
      <c r="C19" s="9" t="s">
        <v>32</v>
      </c>
      <c r="D19" s="10" t="s">
        <v>33</v>
      </c>
      <c r="E19" s="11">
        <v>46054</v>
      </c>
      <c r="F19" s="10">
        <v>5217.39</v>
      </c>
      <c r="G19" s="10">
        <v>6000</v>
      </c>
      <c r="H19" s="12">
        <v>7</v>
      </c>
      <c r="I19" s="15">
        <v>30</v>
      </c>
      <c r="J19">
        <f t="shared" si="0"/>
        <v>200</v>
      </c>
    </row>
    <row r="20" customHeight="1" spans="2:10">
      <c r="B20" s="8">
        <v>45829</v>
      </c>
      <c r="C20" s="9" t="s">
        <v>34</v>
      </c>
      <c r="D20" s="10" t="s">
        <v>35</v>
      </c>
      <c r="E20" s="11">
        <v>46844</v>
      </c>
      <c r="F20" s="10">
        <v>3788.96</v>
      </c>
      <c r="G20" s="10">
        <v>5092.36</v>
      </c>
      <c r="H20" s="12">
        <v>49</v>
      </c>
      <c r="I20" s="15">
        <v>5</v>
      </c>
      <c r="J20">
        <f t="shared" si="0"/>
        <v>1018.472</v>
      </c>
    </row>
    <row r="21" customHeight="1" spans="2:10">
      <c r="B21" s="8">
        <v>45884</v>
      </c>
      <c r="C21" s="9" t="s">
        <v>34</v>
      </c>
      <c r="D21" s="10" t="s">
        <v>36</v>
      </c>
      <c r="E21" s="11">
        <v>46508</v>
      </c>
      <c r="F21" s="10">
        <v>4500.16</v>
      </c>
      <c r="G21" s="10">
        <v>6048.21</v>
      </c>
      <c r="H21" s="12">
        <v>100</v>
      </c>
      <c r="I21" s="15">
        <v>5</v>
      </c>
      <c r="J21">
        <f t="shared" si="0"/>
        <v>1209.642</v>
      </c>
    </row>
    <row r="22" customHeight="1" spans="2:10">
      <c r="B22" s="8">
        <v>45316</v>
      </c>
      <c r="C22" s="9" t="s">
        <v>37</v>
      </c>
      <c r="D22" s="10" t="s">
        <v>38</v>
      </c>
      <c r="E22" s="11">
        <v>46569</v>
      </c>
      <c r="F22" s="10">
        <v>2608.7</v>
      </c>
      <c r="G22" s="10">
        <v>3000</v>
      </c>
      <c r="H22" s="12">
        <v>435</v>
      </c>
      <c r="I22" s="15">
        <v>1</v>
      </c>
      <c r="J22">
        <f t="shared" si="0"/>
        <v>3000</v>
      </c>
    </row>
    <row r="23" customHeight="1" spans="2:10">
      <c r="B23" s="8">
        <v>45316</v>
      </c>
      <c r="C23" s="9" t="s">
        <v>39</v>
      </c>
      <c r="D23" s="10" t="s">
        <v>40</v>
      </c>
      <c r="E23" s="11">
        <v>46419</v>
      </c>
      <c r="F23" s="10">
        <v>3478.26</v>
      </c>
      <c r="G23" s="10">
        <v>4000</v>
      </c>
      <c r="H23" s="12">
        <v>38</v>
      </c>
      <c r="I23" s="15">
        <v>1</v>
      </c>
      <c r="J23">
        <f t="shared" si="0"/>
        <v>4000</v>
      </c>
    </row>
    <row r="24" customHeight="1" spans="2:10">
      <c r="B24" s="8">
        <v>45856</v>
      </c>
      <c r="C24" s="9" t="s">
        <v>41</v>
      </c>
      <c r="D24" s="10" t="s">
        <v>22</v>
      </c>
      <c r="E24" s="11">
        <v>47515</v>
      </c>
      <c r="F24" s="10">
        <v>4100</v>
      </c>
      <c r="G24" s="10">
        <v>5510.4</v>
      </c>
      <c r="H24" s="12">
        <v>135</v>
      </c>
      <c r="I24" s="15">
        <v>1</v>
      </c>
      <c r="J24">
        <f t="shared" si="0"/>
        <v>5510.4</v>
      </c>
    </row>
    <row r="25" customHeight="1" spans="2:10">
      <c r="B25" s="8">
        <v>45856</v>
      </c>
      <c r="C25" s="9" t="s">
        <v>42</v>
      </c>
      <c r="D25" s="10" t="s">
        <v>22</v>
      </c>
      <c r="E25" s="11">
        <v>47515</v>
      </c>
      <c r="F25" s="10">
        <v>4100</v>
      </c>
      <c r="G25" s="10">
        <v>5510.4</v>
      </c>
      <c r="H25" s="12">
        <v>100</v>
      </c>
      <c r="I25" s="15">
        <v>1</v>
      </c>
      <c r="J25">
        <f t="shared" si="0"/>
        <v>5510.4</v>
      </c>
    </row>
    <row r="26" customHeight="1" spans="2:10">
      <c r="B26" s="8">
        <v>45884</v>
      </c>
      <c r="C26" s="9" t="s">
        <v>43</v>
      </c>
      <c r="D26" s="10" t="s">
        <v>44</v>
      </c>
      <c r="E26" s="11">
        <v>46753</v>
      </c>
      <c r="F26" s="10">
        <v>129712.8</v>
      </c>
      <c r="G26" s="10">
        <v>174334</v>
      </c>
      <c r="H26" s="12">
        <v>3</v>
      </c>
      <c r="I26" s="15">
        <v>28</v>
      </c>
      <c r="J26">
        <f t="shared" si="0"/>
        <v>6226.21428571429</v>
      </c>
    </row>
    <row r="27" customHeight="1" spans="2:10">
      <c r="B27" s="8">
        <v>45714</v>
      </c>
      <c r="C27" s="9" t="s">
        <v>45</v>
      </c>
      <c r="D27" s="10" t="s">
        <v>46</v>
      </c>
      <c r="E27" s="11">
        <v>46174</v>
      </c>
      <c r="F27" s="10">
        <v>4595.36</v>
      </c>
      <c r="G27" s="10">
        <v>5918.82</v>
      </c>
      <c r="H27" s="12">
        <v>1</v>
      </c>
      <c r="I27" s="15">
        <v>10</v>
      </c>
      <c r="J27">
        <f t="shared" si="0"/>
        <v>591.882</v>
      </c>
    </row>
    <row r="28" customHeight="1" spans="2:10">
      <c r="B28" s="8">
        <v>45878</v>
      </c>
      <c r="C28" s="9" t="s">
        <v>47</v>
      </c>
      <c r="D28" s="10" t="s">
        <v>48</v>
      </c>
      <c r="E28" s="11">
        <v>47119</v>
      </c>
      <c r="F28" s="10">
        <v>8000</v>
      </c>
      <c r="G28" s="10">
        <v>9139.2</v>
      </c>
      <c r="H28" s="12">
        <v>7</v>
      </c>
      <c r="I28" s="15">
        <v>10</v>
      </c>
      <c r="J28">
        <f t="shared" si="0"/>
        <v>913.92</v>
      </c>
    </row>
    <row r="29" customHeight="1" spans="2:10">
      <c r="B29" s="8">
        <v>45316</v>
      </c>
      <c r="C29" s="9" t="s">
        <v>49</v>
      </c>
      <c r="D29" s="10" t="s">
        <v>50</v>
      </c>
      <c r="E29" s="11">
        <v>46235</v>
      </c>
      <c r="F29" s="10">
        <v>869.57</v>
      </c>
      <c r="G29" s="10">
        <v>1000</v>
      </c>
      <c r="H29" s="12">
        <v>5</v>
      </c>
      <c r="I29" s="15">
        <v>10</v>
      </c>
      <c r="J29">
        <f t="shared" si="0"/>
        <v>100</v>
      </c>
    </row>
    <row r="30" customHeight="1" spans="2:10">
      <c r="B30" s="8">
        <v>45316</v>
      </c>
      <c r="C30" s="9" t="s">
        <v>51</v>
      </c>
      <c r="D30" s="10" t="s">
        <v>52</v>
      </c>
      <c r="E30" s="11">
        <v>46022</v>
      </c>
      <c r="F30" s="10">
        <v>730</v>
      </c>
      <c r="G30" s="10">
        <v>800</v>
      </c>
      <c r="H30" s="12">
        <v>200</v>
      </c>
      <c r="I30" s="15">
        <v>1</v>
      </c>
      <c r="J30">
        <f t="shared" si="0"/>
        <v>800</v>
      </c>
    </row>
    <row r="31" customHeight="1" spans="2:10">
      <c r="B31" s="8">
        <v>45876</v>
      </c>
      <c r="C31" s="9" t="s">
        <v>53</v>
      </c>
      <c r="D31" s="10" t="s">
        <v>54</v>
      </c>
      <c r="E31" s="11">
        <v>46539</v>
      </c>
      <c r="F31" s="10">
        <v>43596</v>
      </c>
      <c r="G31" s="10">
        <v>58593.02</v>
      </c>
      <c r="H31" s="12">
        <v>10</v>
      </c>
      <c r="I31" s="15">
        <v>1</v>
      </c>
      <c r="J31">
        <f t="shared" si="0"/>
        <v>58593.02</v>
      </c>
    </row>
    <row r="32" customHeight="1" spans="2:10">
      <c r="B32" s="8">
        <v>45736</v>
      </c>
      <c r="C32" s="9" t="s">
        <v>55</v>
      </c>
      <c r="D32" s="10" t="s">
        <v>56</v>
      </c>
      <c r="E32" s="11">
        <v>46600</v>
      </c>
      <c r="F32" s="10">
        <v>37981.44</v>
      </c>
      <c r="G32" s="10">
        <v>51047.06</v>
      </c>
      <c r="H32" s="12">
        <v>6</v>
      </c>
      <c r="I32" s="15">
        <v>1</v>
      </c>
      <c r="J32">
        <f t="shared" si="0"/>
        <v>51047.06</v>
      </c>
    </row>
    <row r="33" customHeight="1" spans="2:10">
      <c r="B33" s="8">
        <v>45864</v>
      </c>
      <c r="C33" s="9" t="s">
        <v>57</v>
      </c>
      <c r="D33" s="10" t="s">
        <v>58</v>
      </c>
      <c r="E33" s="11">
        <v>46753</v>
      </c>
      <c r="F33" s="10">
        <v>18004</v>
      </c>
      <c r="G33" s="10">
        <v>24197.38</v>
      </c>
      <c r="H33" s="12">
        <v>12</v>
      </c>
      <c r="I33" s="15">
        <v>1</v>
      </c>
      <c r="J33">
        <f t="shared" si="0"/>
        <v>24197.38</v>
      </c>
    </row>
    <row r="34" customHeight="1" spans="2:10">
      <c r="B34" s="8">
        <v>45829</v>
      </c>
      <c r="C34" s="9" t="s">
        <v>59</v>
      </c>
      <c r="D34" s="10" t="s">
        <v>60</v>
      </c>
      <c r="E34" s="11">
        <v>47818</v>
      </c>
      <c r="F34" s="10">
        <v>3780</v>
      </c>
      <c r="G34" s="10">
        <v>4900</v>
      </c>
      <c r="H34" s="12">
        <v>220</v>
      </c>
      <c r="I34" s="15">
        <v>1</v>
      </c>
      <c r="J34">
        <f t="shared" si="0"/>
        <v>4900</v>
      </c>
    </row>
    <row r="35" customHeight="1" spans="2:10">
      <c r="B35" s="8">
        <v>45829</v>
      </c>
      <c r="C35" s="9" t="s">
        <v>61</v>
      </c>
      <c r="D35" s="10" t="s">
        <v>62</v>
      </c>
      <c r="E35" s="11">
        <v>47818</v>
      </c>
      <c r="F35" s="10">
        <v>4726</v>
      </c>
      <c r="G35" s="10">
        <v>6351.74</v>
      </c>
      <c r="H35" s="12">
        <v>400</v>
      </c>
      <c r="I35" s="15">
        <v>1</v>
      </c>
      <c r="J35">
        <f t="shared" si="0"/>
        <v>6351.74</v>
      </c>
    </row>
    <row r="36" customHeight="1" spans="2:10">
      <c r="B36" s="8">
        <v>45878</v>
      </c>
      <c r="C36" s="9" t="s">
        <v>63</v>
      </c>
      <c r="D36" s="10" t="s">
        <v>64</v>
      </c>
      <c r="E36" s="11">
        <v>46631</v>
      </c>
      <c r="F36" s="10">
        <v>400628</v>
      </c>
      <c r="G36" s="10">
        <v>516000</v>
      </c>
      <c r="H36" s="12">
        <v>1</v>
      </c>
      <c r="I36" s="15">
        <v>20</v>
      </c>
      <c r="J36">
        <f t="shared" si="0"/>
        <v>25800</v>
      </c>
    </row>
    <row r="37" customHeight="1" spans="2:10">
      <c r="B37" s="8">
        <v>45316</v>
      </c>
      <c r="C37" s="9" t="s">
        <v>65</v>
      </c>
      <c r="D37" s="10" t="s">
        <v>14</v>
      </c>
      <c r="E37" s="11">
        <v>46235</v>
      </c>
      <c r="F37" s="10">
        <v>2434.78</v>
      </c>
      <c r="G37" s="10">
        <v>2800</v>
      </c>
      <c r="H37" s="12">
        <v>20</v>
      </c>
      <c r="I37" s="15">
        <v>1</v>
      </c>
      <c r="J37">
        <f t="shared" si="0"/>
        <v>2800</v>
      </c>
    </row>
    <row r="38" customHeight="1" spans="2:10">
      <c r="B38" s="8">
        <v>45854</v>
      </c>
      <c r="C38" s="9" t="s">
        <v>66</v>
      </c>
      <c r="D38" s="10" t="s">
        <v>67</v>
      </c>
      <c r="E38" s="11">
        <v>46508</v>
      </c>
      <c r="F38" s="10">
        <v>2335.2</v>
      </c>
      <c r="G38" s="10">
        <v>3138.51</v>
      </c>
      <c r="H38" s="12">
        <v>20</v>
      </c>
      <c r="I38" s="15">
        <v>1</v>
      </c>
      <c r="J38">
        <f t="shared" si="0"/>
        <v>3138.51</v>
      </c>
    </row>
    <row r="39" customHeight="1" spans="2:10">
      <c r="B39" s="8">
        <v>45371</v>
      </c>
      <c r="C39" s="9" t="s">
        <v>68</v>
      </c>
      <c r="D39" s="10" t="s">
        <v>69</v>
      </c>
      <c r="E39" s="11">
        <v>46266</v>
      </c>
      <c r="F39" s="10">
        <v>8635</v>
      </c>
      <c r="G39" s="10">
        <v>9900</v>
      </c>
      <c r="H39" s="12">
        <v>72</v>
      </c>
      <c r="I39" s="15">
        <v>1</v>
      </c>
      <c r="J39">
        <f t="shared" si="0"/>
        <v>9900</v>
      </c>
    </row>
    <row r="40" customHeight="1" spans="2:10">
      <c r="B40" s="8">
        <v>45878</v>
      </c>
      <c r="C40" s="9" t="s">
        <v>70</v>
      </c>
      <c r="D40" s="10" t="s">
        <v>71</v>
      </c>
      <c r="E40" s="11">
        <v>46692</v>
      </c>
      <c r="F40" s="10">
        <v>139684</v>
      </c>
      <c r="G40" s="10">
        <v>187735.3</v>
      </c>
      <c r="H40" s="12">
        <v>4</v>
      </c>
      <c r="I40" s="15">
        <v>28</v>
      </c>
      <c r="J40">
        <f t="shared" si="0"/>
        <v>6704.83214285714</v>
      </c>
    </row>
    <row r="41" customHeight="1" spans="2:10">
      <c r="B41" s="8">
        <v>45776</v>
      </c>
      <c r="C41" s="9" t="s">
        <v>72</v>
      </c>
      <c r="D41" s="10" t="s">
        <v>73</v>
      </c>
      <c r="E41" s="11">
        <v>47331</v>
      </c>
      <c r="F41" s="10">
        <v>57678.88</v>
      </c>
      <c r="G41" s="10">
        <v>74300</v>
      </c>
      <c r="H41" s="12">
        <v>19</v>
      </c>
      <c r="I41" s="15">
        <v>30</v>
      </c>
      <c r="J41">
        <f t="shared" si="0"/>
        <v>2476.66666666667</v>
      </c>
    </row>
    <row r="42" customHeight="1" spans="2:10">
      <c r="B42" s="8">
        <v>45714</v>
      </c>
      <c r="C42" s="9" t="s">
        <v>74</v>
      </c>
      <c r="D42" s="10" t="s">
        <v>75</v>
      </c>
      <c r="E42" s="11">
        <v>46447</v>
      </c>
      <c r="F42" s="10">
        <v>112297.92</v>
      </c>
      <c r="G42" s="10">
        <v>144639.72</v>
      </c>
      <c r="H42" s="12">
        <v>3</v>
      </c>
      <c r="I42" s="15">
        <v>30</v>
      </c>
      <c r="J42">
        <f t="shared" si="0"/>
        <v>4821.324</v>
      </c>
    </row>
    <row r="43" customHeight="1" spans="2:10">
      <c r="B43" s="8">
        <v>45884</v>
      </c>
      <c r="C43" s="9" t="s">
        <v>76</v>
      </c>
      <c r="D43" s="10" t="s">
        <v>77</v>
      </c>
      <c r="E43" s="11">
        <v>46327</v>
      </c>
      <c r="F43" s="10">
        <v>8075.2</v>
      </c>
      <c r="G43" s="10">
        <v>10853.07</v>
      </c>
      <c r="H43" s="12">
        <v>20</v>
      </c>
      <c r="I43" s="15">
        <v>10</v>
      </c>
      <c r="J43">
        <f t="shared" si="0"/>
        <v>1085.307</v>
      </c>
    </row>
    <row r="44" customHeight="1" spans="2:10">
      <c r="B44" s="8">
        <v>45878</v>
      </c>
      <c r="C44" s="9" t="s">
        <v>78</v>
      </c>
      <c r="D44" s="10" t="s">
        <v>36</v>
      </c>
      <c r="E44" s="11">
        <v>46753</v>
      </c>
      <c r="F44" s="10">
        <v>9494</v>
      </c>
      <c r="G44" s="10">
        <v>12759.94</v>
      </c>
      <c r="H44" s="12">
        <v>10</v>
      </c>
      <c r="I44" s="15">
        <v>10</v>
      </c>
      <c r="J44">
        <f t="shared" si="0"/>
        <v>1275.994</v>
      </c>
    </row>
    <row r="45" customHeight="1" spans="2:10">
      <c r="B45" s="8">
        <v>45878</v>
      </c>
      <c r="C45" s="9" t="s">
        <v>79</v>
      </c>
      <c r="D45" s="10" t="s">
        <v>80</v>
      </c>
      <c r="E45" s="11">
        <v>46813</v>
      </c>
      <c r="F45" s="10">
        <v>160364</v>
      </c>
      <c r="G45" s="10">
        <v>215529.22</v>
      </c>
      <c r="H45" s="12">
        <v>1</v>
      </c>
      <c r="I45" s="15">
        <v>8</v>
      </c>
      <c r="J45">
        <f t="shared" si="0"/>
        <v>26941.1525</v>
      </c>
    </row>
    <row r="46" customHeight="1" spans="2:10">
      <c r="B46" s="8">
        <v>45878</v>
      </c>
      <c r="C46" s="9" t="s">
        <v>79</v>
      </c>
      <c r="D46" s="10" t="s">
        <v>81</v>
      </c>
      <c r="E46" s="11">
        <v>46327</v>
      </c>
      <c r="F46" s="10">
        <v>239512</v>
      </c>
      <c r="G46" s="10">
        <v>321904.13</v>
      </c>
      <c r="H46" s="12">
        <v>1</v>
      </c>
      <c r="I46" s="15">
        <v>8</v>
      </c>
      <c r="J46">
        <f t="shared" si="0"/>
        <v>40238.01625</v>
      </c>
    </row>
    <row r="47" customHeight="1" spans="2:10">
      <c r="B47" s="8">
        <v>45853</v>
      </c>
      <c r="C47" s="9" t="s">
        <v>82</v>
      </c>
      <c r="D47" s="10" t="s">
        <v>22</v>
      </c>
      <c r="E47" s="11">
        <v>73020</v>
      </c>
      <c r="F47" s="10">
        <v>189000</v>
      </c>
      <c r="G47" s="10">
        <v>254016</v>
      </c>
      <c r="H47" s="12">
        <v>1</v>
      </c>
      <c r="I47" s="15">
        <v>1</v>
      </c>
      <c r="J47">
        <f t="shared" si="0"/>
        <v>254016</v>
      </c>
    </row>
    <row r="48" customHeight="1" spans="2:10">
      <c r="B48" s="8">
        <v>45820</v>
      </c>
      <c r="C48" s="9" t="s">
        <v>83</v>
      </c>
      <c r="D48" s="10" t="s">
        <v>84</v>
      </c>
      <c r="E48" s="11">
        <v>46692</v>
      </c>
      <c r="F48" s="10">
        <v>217666.4</v>
      </c>
      <c r="G48" s="10">
        <v>280400</v>
      </c>
      <c r="H48" s="12">
        <v>1</v>
      </c>
      <c r="I48" s="15">
        <v>5</v>
      </c>
      <c r="J48">
        <f t="shared" si="0"/>
        <v>56080</v>
      </c>
    </row>
    <row r="49" customHeight="1" spans="2:10">
      <c r="B49" s="8">
        <v>45878</v>
      </c>
      <c r="C49" s="9" t="s">
        <v>85</v>
      </c>
      <c r="D49" s="10" t="s">
        <v>86</v>
      </c>
      <c r="E49" s="11">
        <v>46844</v>
      </c>
      <c r="F49" s="10">
        <v>72192</v>
      </c>
      <c r="G49" s="10">
        <v>97026.05</v>
      </c>
      <c r="H49" s="12">
        <v>7</v>
      </c>
      <c r="I49" s="15">
        <v>10</v>
      </c>
      <c r="J49">
        <f t="shared" si="0"/>
        <v>9702.605</v>
      </c>
    </row>
    <row r="50" customHeight="1" spans="2:10">
      <c r="B50" s="8">
        <v>45776</v>
      </c>
      <c r="C50" s="9" t="s">
        <v>87</v>
      </c>
      <c r="D50" s="10" t="s">
        <v>88</v>
      </c>
      <c r="E50" s="11">
        <v>46447</v>
      </c>
      <c r="F50" s="10">
        <v>4056.64</v>
      </c>
      <c r="G50" s="10">
        <v>5452.13</v>
      </c>
      <c r="H50" s="12">
        <v>20</v>
      </c>
      <c r="I50" s="15">
        <v>1</v>
      </c>
      <c r="J50">
        <f t="shared" si="0"/>
        <v>5452.13</v>
      </c>
    </row>
    <row r="51" customHeight="1" spans="2:10">
      <c r="B51" s="8">
        <v>45673</v>
      </c>
      <c r="C51" s="9" t="s">
        <v>89</v>
      </c>
      <c r="D51" s="10" t="s">
        <v>14</v>
      </c>
      <c r="E51" s="11">
        <v>45901</v>
      </c>
      <c r="F51" s="10">
        <v>5391.3</v>
      </c>
      <c r="G51" s="10">
        <v>6200</v>
      </c>
      <c r="H51" s="12">
        <v>3</v>
      </c>
      <c r="I51" s="15">
        <v>10</v>
      </c>
      <c r="J51">
        <f t="shared" si="0"/>
        <v>620</v>
      </c>
    </row>
    <row r="52" customHeight="1" spans="2:10">
      <c r="B52" s="8">
        <v>45843</v>
      </c>
      <c r="C52" s="9" t="s">
        <v>90</v>
      </c>
      <c r="D52" s="10" t="s">
        <v>91</v>
      </c>
      <c r="E52" s="11">
        <v>46753</v>
      </c>
      <c r="F52" s="10">
        <v>3699.36</v>
      </c>
      <c r="G52" s="10">
        <v>4800</v>
      </c>
      <c r="H52" s="12">
        <v>40</v>
      </c>
      <c r="I52" s="15">
        <v>1</v>
      </c>
      <c r="J52">
        <f t="shared" si="0"/>
        <v>4800</v>
      </c>
    </row>
    <row r="53" customHeight="1" spans="2:10">
      <c r="B53" s="8">
        <v>45878</v>
      </c>
      <c r="C53" s="9" t="s">
        <v>92</v>
      </c>
      <c r="D53" s="10" t="s">
        <v>62</v>
      </c>
      <c r="E53" s="11">
        <v>47119</v>
      </c>
      <c r="F53" s="10">
        <v>41900</v>
      </c>
      <c r="G53" s="10">
        <v>56313.6</v>
      </c>
      <c r="H53" s="12">
        <v>5</v>
      </c>
      <c r="I53" s="15">
        <v>25</v>
      </c>
      <c r="J53">
        <f t="shared" si="0"/>
        <v>2252.544</v>
      </c>
    </row>
    <row r="54" customHeight="1" spans="2:10">
      <c r="B54" s="8">
        <v>45838</v>
      </c>
      <c r="C54" s="9" t="s">
        <v>92</v>
      </c>
      <c r="D54" s="10" t="s">
        <v>93</v>
      </c>
      <c r="E54" s="11">
        <v>47453</v>
      </c>
      <c r="F54" s="10">
        <v>72920.96</v>
      </c>
      <c r="G54" s="10">
        <v>98005.77</v>
      </c>
      <c r="H54" s="12">
        <v>1</v>
      </c>
      <c r="I54" s="15">
        <v>25</v>
      </c>
      <c r="J54">
        <f t="shared" si="0"/>
        <v>3920.2308</v>
      </c>
    </row>
    <row r="55" customHeight="1" spans="2:10">
      <c r="B55" s="8">
        <v>45316</v>
      </c>
      <c r="C55" s="9" t="s">
        <v>94</v>
      </c>
      <c r="D55" s="10" t="s">
        <v>95</v>
      </c>
      <c r="E55" s="11">
        <v>46152</v>
      </c>
      <c r="F55" s="10">
        <v>69565.22</v>
      </c>
      <c r="G55" s="10">
        <v>80000</v>
      </c>
      <c r="H55" s="12">
        <v>5</v>
      </c>
      <c r="I55" s="15">
        <v>60</v>
      </c>
      <c r="J55">
        <f t="shared" si="0"/>
        <v>1333.33333333333</v>
      </c>
    </row>
    <row r="56" customHeight="1" spans="2:10">
      <c r="B56" s="8">
        <v>45779</v>
      </c>
      <c r="C56" s="9" t="s">
        <v>96</v>
      </c>
      <c r="D56" s="10" t="s">
        <v>97</v>
      </c>
      <c r="E56" s="11">
        <v>46357</v>
      </c>
      <c r="F56" s="10">
        <v>5936</v>
      </c>
      <c r="G56" s="10">
        <v>7977.98</v>
      </c>
      <c r="H56" s="12">
        <v>50</v>
      </c>
      <c r="I56" s="15">
        <v>10</v>
      </c>
      <c r="J56">
        <f t="shared" si="0"/>
        <v>797.798</v>
      </c>
    </row>
    <row r="57" customHeight="1" spans="2:10">
      <c r="B57" s="8">
        <v>45764</v>
      </c>
      <c r="C57" s="9" t="s">
        <v>96</v>
      </c>
      <c r="D57" s="10" t="s">
        <v>98</v>
      </c>
      <c r="E57" s="11">
        <v>46357</v>
      </c>
      <c r="F57" s="10">
        <v>6300</v>
      </c>
      <c r="G57" s="10">
        <v>8467.2</v>
      </c>
      <c r="H57" s="12">
        <v>4</v>
      </c>
      <c r="I57" s="15">
        <v>10</v>
      </c>
      <c r="J57">
        <f t="shared" si="0"/>
        <v>846.72</v>
      </c>
    </row>
    <row r="58" customHeight="1" spans="2:10">
      <c r="B58" s="8">
        <v>45622</v>
      </c>
      <c r="C58" s="9" t="s">
        <v>99</v>
      </c>
      <c r="D58" s="10" t="s">
        <v>100</v>
      </c>
      <c r="E58" s="11">
        <v>46113</v>
      </c>
      <c r="F58" s="10">
        <v>10689.28</v>
      </c>
      <c r="G58" s="10">
        <v>13000</v>
      </c>
      <c r="H58" s="12">
        <v>42</v>
      </c>
      <c r="I58" s="15">
        <v>10</v>
      </c>
      <c r="J58">
        <f t="shared" si="0"/>
        <v>1300</v>
      </c>
    </row>
    <row r="59" customHeight="1" spans="2:10">
      <c r="B59" s="8">
        <v>45878</v>
      </c>
      <c r="C59" s="9" t="s">
        <v>101</v>
      </c>
      <c r="D59" s="10" t="s">
        <v>102</v>
      </c>
      <c r="E59" s="11">
        <v>46447</v>
      </c>
      <c r="F59" s="10">
        <v>11468</v>
      </c>
      <c r="G59" s="10">
        <v>15412.99</v>
      </c>
      <c r="H59" s="12">
        <v>3</v>
      </c>
      <c r="I59" s="15">
        <v>10</v>
      </c>
      <c r="J59">
        <f t="shared" si="0"/>
        <v>1541.299</v>
      </c>
    </row>
    <row r="60" customHeight="1" spans="2:10">
      <c r="B60" s="8">
        <v>45805</v>
      </c>
      <c r="C60" s="9" t="s">
        <v>103</v>
      </c>
      <c r="D60" s="10" t="s">
        <v>104</v>
      </c>
      <c r="E60" s="11">
        <v>47484</v>
      </c>
      <c r="F60" s="10">
        <v>8545.6</v>
      </c>
      <c r="G60" s="10">
        <v>11485.29</v>
      </c>
      <c r="H60" s="12">
        <v>6</v>
      </c>
      <c r="I60" s="15">
        <v>10</v>
      </c>
      <c r="J60">
        <f t="shared" si="0"/>
        <v>1148.529</v>
      </c>
    </row>
    <row r="61" customHeight="1" spans="2:10">
      <c r="B61" s="8">
        <v>45316</v>
      </c>
      <c r="C61" s="9" t="s">
        <v>105</v>
      </c>
      <c r="D61" s="10" t="s">
        <v>106</v>
      </c>
      <c r="E61" s="11">
        <v>46478</v>
      </c>
      <c r="F61" s="10">
        <v>176521.74</v>
      </c>
      <c r="G61" s="10">
        <v>203000</v>
      </c>
      <c r="H61" s="12">
        <v>0.12</v>
      </c>
      <c r="I61" s="15">
        <v>50</v>
      </c>
      <c r="J61">
        <f t="shared" ref="J61:J115" si="1">SUM(G61/I61)</f>
        <v>4060</v>
      </c>
    </row>
    <row r="62" customHeight="1" spans="2:10">
      <c r="B62" s="8">
        <v>45878</v>
      </c>
      <c r="C62" s="9" t="s">
        <v>107</v>
      </c>
      <c r="D62" s="10" t="s">
        <v>108</v>
      </c>
      <c r="E62" s="11">
        <v>46296</v>
      </c>
      <c r="F62" s="10">
        <v>7820</v>
      </c>
      <c r="G62" s="10">
        <v>10510.08</v>
      </c>
      <c r="H62" s="12">
        <v>6</v>
      </c>
      <c r="I62" s="15">
        <v>10</v>
      </c>
      <c r="J62">
        <f t="shared" si="1"/>
        <v>1051.008</v>
      </c>
    </row>
    <row r="63" customHeight="1" spans="2:10">
      <c r="B63" s="8">
        <v>45331</v>
      </c>
      <c r="C63" s="9" t="s">
        <v>109</v>
      </c>
      <c r="D63" s="10" t="s">
        <v>110</v>
      </c>
      <c r="E63" s="11">
        <v>46113</v>
      </c>
      <c r="F63" s="10">
        <v>165000</v>
      </c>
      <c r="G63" s="10">
        <v>190000</v>
      </c>
      <c r="H63" s="12">
        <v>13</v>
      </c>
      <c r="I63" s="15">
        <v>10</v>
      </c>
      <c r="J63">
        <f t="shared" si="1"/>
        <v>19000</v>
      </c>
    </row>
    <row r="64" customHeight="1" spans="2:10">
      <c r="B64" s="8">
        <v>45875</v>
      </c>
      <c r="C64" s="9" t="s">
        <v>111</v>
      </c>
      <c r="D64" s="10" t="s">
        <v>112</v>
      </c>
      <c r="E64" s="11">
        <v>47818</v>
      </c>
      <c r="F64" s="10">
        <v>4350</v>
      </c>
      <c r="G64" s="10">
        <v>5846.4</v>
      </c>
      <c r="H64" s="12">
        <v>80</v>
      </c>
      <c r="I64" s="15">
        <v>1</v>
      </c>
      <c r="J64">
        <f t="shared" si="1"/>
        <v>5846.4</v>
      </c>
    </row>
    <row r="65" customHeight="1" spans="2:10">
      <c r="B65" s="8">
        <v>45875</v>
      </c>
      <c r="C65" s="9" t="s">
        <v>113</v>
      </c>
      <c r="D65" s="10" t="s">
        <v>112</v>
      </c>
      <c r="E65" s="11">
        <v>47818</v>
      </c>
      <c r="F65" s="10">
        <v>4350</v>
      </c>
      <c r="G65" s="10">
        <v>5846.4</v>
      </c>
      <c r="H65" s="12">
        <v>80</v>
      </c>
      <c r="I65" s="15">
        <v>1</v>
      </c>
      <c r="J65">
        <f t="shared" si="1"/>
        <v>5846.4</v>
      </c>
    </row>
    <row r="66" customHeight="1" spans="2:10">
      <c r="B66" s="8">
        <v>45316</v>
      </c>
      <c r="C66" s="9" t="s">
        <v>114</v>
      </c>
      <c r="D66" s="10" t="s">
        <v>115</v>
      </c>
      <c r="E66" s="11">
        <v>46113</v>
      </c>
      <c r="F66" s="10">
        <v>95652.17</v>
      </c>
      <c r="G66" s="10">
        <v>110000</v>
      </c>
      <c r="H66" s="12">
        <v>4</v>
      </c>
      <c r="I66" s="15">
        <v>10</v>
      </c>
      <c r="J66">
        <f t="shared" si="1"/>
        <v>11000</v>
      </c>
    </row>
    <row r="67" customHeight="1" spans="2:10">
      <c r="B67" s="8">
        <v>45467</v>
      </c>
      <c r="C67" s="9" t="s">
        <v>116</v>
      </c>
      <c r="D67" s="10" t="s">
        <v>112</v>
      </c>
      <c r="E67" s="11">
        <v>47138</v>
      </c>
      <c r="F67" s="10">
        <v>4480</v>
      </c>
      <c r="G67" s="10">
        <v>5300</v>
      </c>
      <c r="H67" s="12">
        <v>50</v>
      </c>
      <c r="I67" s="15">
        <v>1</v>
      </c>
      <c r="J67">
        <f t="shared" si="1"/>
        <v>5300</v>
      </c>
    </row>
    <row r="68" customHeight="1" spans="2:10">
      <c r="B68" s="8">
        <v>45707</v>
      </c>
      <c r="C68" s="9" t="s">
        <v>116</v>
      </c>
      <c r="D68" s="10" t="s">
        <v>117</v>
      </c>
      <c r="E68" s="11">
        <v>46935</v>
      </c>
      <c r="F68" s="10">
        <v>3360</v>
      </c>
      <c r="G68" s="10">
        <v>3900</v>
      </c>
      <c r="H68" s="12">
        <v>23</v>
      </c>
      <c r="I68" s="15">
        <v>1</v>
      </c>
      <c r="J68">
        <f t="shared" si="1"/>
        <v>3900</v>
      </c>
    </row>
    <row r="69" customHeight="1" spans="2:10">
      <c r="B69" s="8">
        <v>45467</v>
      </c>
      <c r="C69" s="9" t="s">
        <v>118</v>
      </c>
      <c r="D69" s="10" t="s">
        <v>119</v>
      </c>
      <c r="E69" s="11">
        <v>47169</v>
      </c>
      <c r="F69" s="10">
        <v>4480</v>
      </c>
      <c r="G69" s="10">
        <v>5300</v>
      </c>
      <c r="H69" s="12">
        <v>98</v>
      </c>
      <c r="I69" s="15">
        <v>1</v>
      </c>
      <c r="J69">
        <f t="shared" si="1"/>
        <v>5300</v>
      </c>
    </row>
    <row r="70" customHeight="1" spans="2:10">
      <c r="B70" s="8">
        <v>45693</v>
      </c>
      <c r="C70" s="9" t="s">
        <v>120</v>
      </c>
      <c r="D70" s="10" t="s">
        <v>14</v>
      </c>
      <c r="E70" s="11">
        <v>46935</v>
      </c>
      <c r="F70" s="10">
        <v>4608.7</v>
      </c>
      <c r="G70" s="10">
        <v>5300</v>
      </c>
      <c r="H70" s="12">
        <v>27</v>
      </c>
      <c r="I70" s="15">
        <v>1</v>
      </c>
      <c r="J70">
        <f t="shared" si="1"/>
        <v>5300</v>
      </c>
    </row>
    <row r="71" customHeight="1" spans="2:10">
      <c r="B71" s="8">
        <v>45666</v>
      </c>
      <c r="C71" s="9" t="s">
        <v>121</v>
      </c>
      <c r="D71" s="10" t="s">
        <v>14</v>
      </c>
      <c r="E71" s="11">
        <v>46935</v>
      </c>
      <c r="F71" s="10">
        <v>6720</v>
      </c>
      <c r="G71" s="10">
        <v>7700</v>
      </c>
      <c r="H71" s="12">
        <v>50</v>
      </c>
      <c r="I71" s="15">
        <v>1</v>
      </c>
      <c r="J71">
        <f t="shared" si="1"/>
        <v>7700</v>
      </c>
    </row>
    <row r="72" customHeight="1" spans="2:10">
      <c r="B72" s="8">
        <v>45502</v>
      </c>
      <c r="C72" s="9" t="s">
        <v>122</v>
      </c>
      <c r="D72" s="10" t="s">
        <v>123</v>
      </c>
      <c r="E72" s="11">
        <v>47362</v>
      </c>
      <c r="F72" s="10">
        <v>6720</v>
      </c>
      <c r="G72" s="10">
        <v>7700</v>
      </c>
      <c r="H72" s="12">
        <v>50</v>
      </c>
      <c r="I72" s="15">
        <v>1</v>
      </c>
      <c r="J72">
        <f t="shared" si="1"/>
        <v>7700</v>
      </c>
    </row>
    <row r="73" customHeight="1" spans="2:10">
      <c r="B73" s="8">
        <v>45703</v>
      </c>
      <c r="C73" s="9" t="s">
        <v>124</v>
      </c>
      <c r="D73" s="10" t="s">
        <v>117</v>
      </c>
      <c r="E73" s="11">
        <v>46478</v>
      </c>
      <c r="F73" s="10">
        <v>10000</v>
      </c>
      <c r="G73" s="10">
        <v>12000</v>
      </c>
      <c r="H73" s="12">
        <v>50</v>
      </c>
      <c r="I73" s="15">
        <v>1</v>
      </c>
      <c r="J73">
        <f t="shared" si="1"/>
        <v>12000</v>
      </c>
    </row>
    <row r="74" customHeight="1" spans="2:10">
      <c r="B74" s="8">
        <v>45703</v>
      </c>
      <c r="C74" s="9" t="s">
        <v>125</v>
      </c>
      <c r="D74" s="10" t="s">
        <v>14</v>
      </c>
      <c r="E74" s="11">
        <v>46478</v>
      </c>
      <c r="F74" s="10">
        <v>10000</v>
      </c>
      <c r="G74" s="10">
        <v>12000</v>
      </c>
      <c r="H74" s="12">
        <v>50</v>
      </c>
      <c r="I74" s="15">
        <v>1</v>
      </c>
      <c r="J74">
        <f t="shared" si="1"/>
        <v>12000</v>
      </c>
    </row>
    <row r="75" customHeight="1" spans="2:10">
      <c r="B75" s="8">
        <v>45884</v>
      </c>
      <c r="C75" s="9" t="s">
        <v>126</v>
      </c>
      <c r="D75" s="10" t="s">
        <v>127</v>
      </c>
      <c r="E75" s="11">
        <v>47150</v>
      </c>
      <c r="F75" s="10">
        <v>80153.34</v>
      </c>
      <c r="G75" s="10">
        <v>107726.09</v>
      </c>
      <c r="H75" s="12">
        <v>4</v>
      </c>
      <c r="I75" s="15">
        <v>10</v>
      </c>
      <c r="J75">
        <f t="shared" si="1"/>
        <v>10772.609</v>
      </c>
    </row>
    <row r="76" customHeight="1" spans="2:10">
      <c r="B76" s="8">
        <v>45316</v>
      </c>
      <c r="C76" s="9" t="s">
        <v>128</v>
      </c>
      <c r="D76" s="10" t="s">
        <v>129</v>
      </c>
      <c r="E76" s="11">
        <v>46692</v>
      </c>
      <c r="F76" s="10">
        <v>29565.22</v>
      </c>
      <c r="G76" s="10">
        <v>34000</v>
      </c>
      <c r="H76" s="12">
        <v>2</v>
      </c>
      <c r="I76" s="15">
        <v>30</v>
      </c>
      <c r="J76">
        <f t="shared" si="1"/>
        <v>1133.33333333333</v>
      </c>
    </row>
    <row r="77" customHeight="1" spans="2:10">
      <c r="B77" s="8">
        <v>45316</v>
      </c>
      <c r="C77" s="9" t="s">
        <v>130</v>
      </c>
      <c r="D77" s="10" t="s">
        <v>112</v>
      </c>
      <c r="E77" s="11">
        <v>46023</v>
      </c>
      <c r="F77" s="10">
        <v>6086.96</v>
      </c>
      <c r="G77" s="10">
        <v>7000</v>
      </c>
      <c r="H77" s="12">
        <v>2</v>
      </c>
      <c r="I77" s="15">
        <v>30</v>
      </c>
      <c r="J77">
        <f t="shared" si="1"/>
        <v>233.333333333333</v>
      </c>
    </row>
    <row r="78" customHeight="1" spans="2:10">
      <c r="B78" s="8">
        <v>45878</v>
      </c>
      <c r="C78" s="9" t="s">
        <v>131</v>
      </c>
      <c r="D78" s="10" t="s">
        <v>132</v>
      </c>
      <c r="E78" s="11">
        <v>46508</v>
      </c>
      <c r="F78" s="10">
        <v>122200</v>
      </c>
      <c r="G78" s="10">
        <v>164236.8</v>
      </c>
      <c r="H78" s="12">
        <v>5</v>
      </c>
      <c r="I78" s="15">
        <v>60</v>
      </c>
      <c r="J78">
        <f t="shared" si="1"/>
        <v>2737.28</v>
      </c>
    </row>
    <row r="79" customHeight="1" spans="2:10">
      <c r="B79" s="8">
        <v>45853</v>
      </c>
      <c r="C79" s="9" t="s">
        <v>133</v>
      </c>
      <c r="D79" s="10" t="s">
        <v>134</v>
      </c>
      <c r="E79" s="11">
        <v>46631</v>
      </c>
      <c r="F79" s="10">
        <v>23520</v>
      </c>
      <c r="G79" s="10">
        <v>31610.88</v>
      </c>
      <c r="H79" s="12">
        <v>160</v>
      </c>
      <c r="I79" s="15">
        <v>1</v>
      </c>
      <c r="J79">
        <f t="shared" si="1"/>
        <v>31610.88</v>
      </c>
    </row>
    <row r="80" customHeight="1" spans="2:10">
      <c r="B80" s="8">
        <v>45878</v>
      </c>
      <c r="C80" s="9" t="s">
        <v>135</v>
      </c>
      <c r="D80" s="10" t="s">
        <v>136</v>
      </c>
      <c r="E80" s="11">
        <v>46082</v>
      </c>
      <c r="F80" s="10">
        <v>44932</v>
      </c>
      <c r="G80" s="10">
        <v>60388.61</v>
      </c>
      <c r="H80" s="12">
        <v>4</v>
      </c>
      <c r="I80" s="15">
        <v>1</v>
      </c>
      <c r="J80">
        <f t="shared" si="1"/>
        <v>60388.61</v>
      </c>
    </row>
    <row r="81" customHeight="1" spans="2:10">
      <c r="B81" s="8">
        <v>45622</v>
      </c>
      <c r="C81" s="9" t="s">
        <v>137</v>
      </c>
      <c r="D81" s="10" t="s">
        <v>108</v>
      </c>
      <c r="E81" s="11">
        <v>46661</v>
      </c>
      <c r="F81" s="10">
        <v>5159.84</v>
      </c>
      <c r="G81" s="10">
        <v>6000</v>
      </c>
      <c r="H81" s="12">
        <v>5</v>
      </c>
      <c r="I81" s="15">
        <v>1</v>
      </c>
      <c r="J81">
        <f t="shared" si="1"/>
        <v>6000</v>
      </c>
    </row>
    <row r="82" customHeight="1" spans="2:10">
      <c r="B82" s="8">
        <v>45878</v>
      </c>
      <c r="C82" s="9" t="s">
        <v>138</v>
      </c>
      <c r="D82" s="10" t="s">
        <v>139</v>
      </c>
      <c r="E82" s="11">
        <v>47270</v>
      </c>
      <c r="F82" s="10">
        <v>113400</v>
      </c>
      <c r="G82" s="10">
        <v>152409.6</v>
      </c>
      <c r="H82" s="12">
        <v>5</v>
      </c>
      <c r="I82" s="15">
        <v>10</v>
      </c>
      <c r="J82">
        <f t="shared" si="1"/>
        <v>15240.96</v>
      </c>
    </row>
    <row r="83" customHeight="1" spans="2:10">
      <c r="B83" s="8">
        <v>45316</v>
      </c>
      <c r="C83" s="9" t="s">
        <v>140</v>
      </c>
      <c r="D83" s="10" t="s">
        <v>141</v>
      </c>
      <c r="E83" s="11">
        <v>46753</v>
      </c>
      <c r="F83" s="10">
        <v>46956.52</v>
      </c>
      <c r="G83" s="10">
        <v>54000</v>
      </c>
      <c r="H83" s="12">
        <v>9</v>
      </c>
      <c r="I83" s="15">
        <v>30</v>
      </c>
      <c r="J83">
        <f t="shared" si="1"/>
        <v>1800</v>
      </c>
    </row>
    <row r="84" customHeight="1" spans="2:10">
      <c r="B84" s="8">
        <v>45805</v>
      </c>
      <c r="C84" s="9" t="s">
        <v>142</v>
      </c>
      <c r="D84" s="10" t="s">
        <v>143</v>
      </c>
      <c r="E84" s="11">
        <v>46174</v>
      </c>
      <c r="F84" s="10">
        <v>3999.52</v>
      </c>
      <c r="G84" s="10">
        <v>5200</v>
      </c>
      <c r="H84" s="12">
        <v>4</v>
      </c>
      <c r="I84" s="15">
        <v>10</v>
      </c>
      <c r="J84">
        <f t="shared" si="1"/>
        <v>520</v>
      </c>
    </row>
    <row r="85" customHeight="1" spans="2:10">
      <c r="B85" s="8">
        <v>45838</v>
      </c>
      <c r="C85" s="9" t="s">
        <v>144</v>
      </c>
      <c r="D85" s="10" t="s">
        <v>145</v>
      </c>
      <c r="E85" s="11">
        <v>46539</v>
      </c>
      <c r="F85" s="10">
        <v>26399.52</v>
      </c>
      <c r="G85" s="10">
        <v>35480.95</v>
      </c>
      <c r="H85" s="12">
        <v>4</v>
      </c>
      <c r="I85" s="15">
        <v>10</v>
      </c>
      <c r="J85">
        <f t="shared" si="1"/>
        <v>3548.095</v>
      </c>
    </row>
    <row r="86" customHeight="1" spans="2:10">
      <c r="B86" s="8">
        <v>45805</v>
      </c>
      <c r="C86" s="9" t="s">
        <v>146</v>
      </c>
      <c r="D86" s="10" t="s">
        <v>147</v>
      </c>
      <c r="E86" s="11">
        <v>46419</v>
      </c>
      <c r="F86" s="10">
        <v>9968</v>
      </c>
      <c r="G86" s="10">
        <v>12800</v>
      </c>
      <c r="H86" s="12">
        <v>3</v>
      </c>
      <c r="I86" s="15">
        <v>10</v>
      </c>
      <c r="J86">
        <f t="shared" si="1"/>
        <v>1280</v>
      </c>
    </row>
    <row r="87" customHeight="1" spans="2:10">
      <c r="B87" s="8">
        <v>45884</v>
      </c>
      <c r="C87" s="9" t="s">
        <v>148</v>
      </c>
      <c r="D87" s="10" t="s">
        <v>149</v>
      </c>
      <c r="E87" s="11">
        <v>46478</v>
      </c>
      <c r="F87" s="10">
        <v>71604.68</v>
      </c>
      <c r="G87" s="10">
        <v>96236.69</v>
      </c>
      <c r="H87" s="12">
        <v>3</v>
      </c>
      <c r="I87" s="15">
        <v>30</v>
      </c>
      <c r="J87">
        <f t="shared" si="1"/>
        <v>3207.88966666667</v>
      </c>
    </row>
    <row r="88" customHeight="1" spans="2:10">
      <c r="B88" s="8">
        <v>45884</v>
      </c>
      <c r="C88" s="9" t="s">
        <v>148</v>
      </c>
      <c r="D88" s="10" t="s">
        <v>150</v>
      </c>
      <c r="E88" s="11">
        <v>46478</v>
      </c>
      <c r="F88" s="10">
        <v>134910.72</v>
      </c>
      <c r="G88" s="10">
        <v>181320</v>
      </c>
      <c r="H88" s="12">
        <v>5</v>
      </c>
      <c r="I88" s="15">
        <v>30</v>
      </c>
      <c r="J88">
        <f t="shared" si="1"/>
        <v>6044</v>
      </c>
    </row>
    <row r="89" customHeight="1" spans="2:10">
      <c r="B89" s="8">
        <v>45513</v>
      </c>
      <c r="C89" s="9" t="s">
        <v>151</v>
      </c>
      <c r="D89" s="10" t="s">
        <v>152</v>
      </c>
      <c r="E89" s="11">
        <v>47209</v>
      </c>
      <c r="F89" s="10">
        <v>25170.88</v>
      </c>
      <c r="G89" s="10">
        <v>29000</v>
      </c>
      <c r="H89" s="12">
        <v>2</v>
      </c>
      <c r="I89" s="15">
        <v>50</v>
      </c>
      <c r="J89">
        <f t="shared" si="1"/>
        <v>580</v>
      </c>
    </row>
    <row r="90" customHeight="1" spans="2:10">
      <c r="B90" s="8">
        <v>45316</v>
      </c>
      <c r="C90" s="9" t="s">
        <v>153</v>
      </c>
      <c r="D90" s="10" t="s">
        <v>154</v>
      </c>
      <c r="E90" s="11">
        <v>46174</v>
      </c>
      <c r="F90" s="10">
        <v>5217.39</v>
      </c>
      <c r="G90" s="10">
        <v>6000</v>
      </c>
      <c r="H90" s="12">
        <v>10</v>
      </c>
      <c r="I90" s="15">
        <v>1</v>
      </c>
      <c r="J90">
        <f t="shared" si="1"/>
        <v>6000</v>
      </c>
    </row>
    <row r="91" customHeight="1" spans="2:10">
      <c r="B91" s="8">
        <v>45896</v>
      </c>
      <c r="C91" s="9" t="s">
        <v>155</v>
      </c>
      <c r="D91" s="10" t="s">
        <v>22</v>
      </c>
      <c r="E91" s="11">
        <v>47088</v>
      </c>
      <c r="F91" s="10">
        <v>7450</v>
      </c>
      <c r="G91" s="10">
        <v>10012.8</v>
      </c>
      <c r="H91" s="12">
        <v>4</v>
      </c>
      <c r="I91" s="15">
        <v>1</v>
      </c>
      <c r="J91">
        <f t="shared" si="1"/>
        <v>10012.8</v>
      </c>
    </row>
    <row r="92" customHeight="1" spans="2:10">
      <c r="B92" s="8">
        <v>45896</v>
      </c>
      <c r="C92" s="9" t="s">
        <v>156</v>
      </c>
      <c r="D92" s="10" t="s">
        <v>22</v>
      </c>
      <c r="E92" s="11">
        <v>47423</v>
      </c>
      <c r="F92" s="10">
        <v>7450</v>
      </c>
      <c r="G92" s="10">
        <v>10012.8</v>
      </c>
      <c r="H92" s="12">
        <v>4</v>
      </c>
      <c r="I92" s="15">
        <v>1</v>
      </c>
      <c r="J92">
        <f t="shared" si="1"/>
        <v>10012.8</v>
      </c>
    </row>
    <row r="93" customHeight="1" spans="2:10">
      <c r="B93" s="8">
        <v>45364</v>
      </c>
      <c r="C93" s="9" t="s">
        <v>157</v>
      </c>
      <c r="D93" s="10" t="s">
        <v>158</v>
      </c>
      <c r="E93" s="11">
        <v>46388</v>
      </c>
      <c r="F93" s="10">
        <v>7500</v>
      </c>
      <c r="G93" s="10">
        <v>9000</v>
      </c>
      <c r="H93" s="12">
        <v>10</v>
      </c>
      <c r="I93" s="15">
        <v>1</v>
      </c>
      <c r="J93">
        <f t="shared" si="1"/>
        <v>9000</v>
      </c>
    </row>
    <row r="94" customHeight="1" spans="2:10">
      <c r="B94" s="8">
        <v>45707</v>
      </c>
      <c r="C94" s="9" t="s">
        <v>159</v>
      </c>
      <c r="D94" s="10" t="s">
        <v>117</v>
      </c>
      <c r="E94" s="11">
        <v>46935</v>
      </c>
      <c r="F94" s="10">
        <v>4995.2</v>
      </c>
      <c r="G94" s="10">
        <v>5700</v>
      </c>
      <c r="H94" s="12">
        <v>20</v>
      </c>
      <c r="I94" s="15">
        <v>1</v>
      </c>
      <c r="J94">
        <f t="shared" si="1"/>
        <v>5700</v>
      </c>
    </row>
    <row r="95" customHeight="1" spans="2:10">
      <c r="B95" s="8">
        <v>45856</v>
      </c>
      <c r="C95" s="9" t="s">
        <v>160</v>
      </c>
      <c r="D95" s="10" t="s">
        <v>22</v>
      </c>
      <c r="E95" s="11">
        <v>47818</v>
      </c>
      <c r="F95" s="10">
        <v>8100</v>
      </c>
      <c r="G95" s="10">
        <v>10886.4</v>
      </c>
      <c r="H95" s="12">
        <v>20</v>
      </c>
      <c r="I95" s="15">
        <v>1</v>
      </c>
      <c r="J95">
        <f t="shared" si="1"/>
        <v>10886.4</v>
      </c>
    </row>
    <row r="96" customHeight="1" spans="2:10">
      <c r="B96" s="8">
        <v>45856</v>
      </c>
      <c r="C96" s="9" t="s">
        <v>161</v>
      </c>
      <c r="D96" s="10" t="s">
        <v>22</v>
      </c>
      <c r="E96" s="11">
        <v>47818</v>
      </c>
      <c r="F96" s="10">
        <v>8100</v>
      </c>
      <c r="G96" s="10">
        <v>10400</v>
      </c>
      <c r="H96" s="12">
        <v>20</v>
      </c>
      <c r="I96" s="15">
        <v>1</v>
      </c>
      <c r="J96">
        <f t="shared" si="1"/>
        <v>10400</v>
      </c>
    </row>
    <row r="97" customHeight="1" spans="2:10">
      <c r="B97" s="8">
        <v>45316</v>
      </c>
      <c r="C97" s="9" t="s">
        <v>162</v>
      </c>
      <c r="D97" s="10" t="s">
        <v>163</v>
      </c>
      <c r="E97" s="11">
        <v>46784</v>
      </c>
      <c r="F97" s="10">
        <v>6086.96</v>
      </c>
      <c r="G97" s="10">
        <v>7000</v>
      </c>
      <c r="H97" s="12">
        <v>2</v>
      </c>
      <c r="I97" s="15">
        <v>1</v>
      </c>
      <c r="J97">
        <f t="shared" si="1"/>
        <v>7000</v>
      </c>
    </row>
    <row r="98" customHeight="1" spans="2:10">
      <c r="B98" s="8">
        <v>45316</v>
      </c>
      <c r="C98" s="9" t="s">
        <v>164</v>
      </c>
      <c r="D98" s="10" t="s">
        <v>163</v>
      </c>
      <c r="E98" s="11">
        <v>46784</v>
      </c>
      <c r="F98" s="10">
        <v>6086.96</v>
      </c>
      <c r="G98" s="10">
        <v>7000</v>
      </c>
      <c r="H98" s="12">
        <v>10</v>
      </c>
      <c r="I98" s="15">
        <v>1</v>
      </c>
      <c r="J98">
        <f t="shared" si="1"/>
        <v>7000</v>
      </c>
    </row>
    <row r="99" customHeight="1" spans="2:10">
      <c r="B99" s="8">
        <v>45838</v>
      </c>
      <c r="C99" s="9" t="s">
        <v>165</v>
      </c>
      <c r="D99" s="10" t="s">
        <v>166</v>
      </c>
      <c r="E99" s="11">
        <v>46419</v>
      </c>
      <c r="F99" s="10">
        <v>89345.76</v>
      </c>
      <c r="G99" s="10">
        <v>120080.7</v>
      </c>
      <c r="H99" s="12">
        <v>1</v>
      </c>
      <c r="I99" s="15">
        <v>10</v>
      </c>
      <c r="J99">
        <f t="shared" si="1"/>
        <v>12008.07</v>
      </c>
    </row>
    <row r="100" customHeight="1" spans="2:10">
      <c r="B100" s="8">
        <v>45878</v>
      </c>
      <c r="C100" s="9" t="s">
        <v>167</v>
      </c>
      <c r="D100" s="10" t="s">
        <v>168</v>
      </c>
      <c r="E100" s="11">
        <v>46508</v>
      </c>
      <c r="F100" s="10">
        <v>20774</v>
      </c>
      <c r="G100" s="10">
        <v>27920.26</v>
      </c>
      <c r="H100" s="12">
        <v>2</v>
      </c>
      <c r="I100" s="15">
        <v>10</v>
      </c>
      <c r="J100">
        <f t="shared" si="1"/>
        <v>2792.026</v>
      </c>
    </row>
    <row r="101" customHeight="1" spans="2:10">
      <c r="B101" s="8">
        <v>45320</v>
      </c>
      <c r="C101" s="9" t="s">
        <v>169</v>
      </c>
      <c r="D101" s="10" t="s">
        <v>170</v>
      </c>
      <c r="E101" s="11">
        <v>46235</v>
      </c>
      <c r="F101" s="10">
        <v>3955</v>
      </c>
      <c r="G101" s="10">
        <v>4500</v>
      </c>
      <c r="H101" s="12">
        <v>2</v>
      </c>
      <c r="I101" s="15">
        <v>30</v>
      </c>
      <c r="J101">
        <f t="shared" si="1"/>
        <v>150</v>
      </c>
    </row>
    <row r="102" customHeight="1" spans="2:10">
      <c r="B102" s="8">
        <v>45316</v>
      </c>
      <c r="C102" s="9" t="s">
        <v>169</v>
      </c>
      <c r="D102" s="10" t="s">
        <v>171</v>
      </c>
      <c r="E102" s="11">
        <v>46143</v>
      </c>
      <c r="F102" s="10">
        <v>3478.26</v>
      </c>
      <c r="G102" s="10">
        <v>4000</v>
      </c>
      <c r="H102" s="12">
        <v>0.333333</v>
      </c>
      <c r="I102" s="15">
        <v>30</v>
      </c>
      <c r="J102">
        <f t="shared" si="1"/>
        <v>133.333333333333</v>
      </c>
    </row>
    <row r="103" customHeight="1" spans="2:10">
      <c r="B103" s="8">
        <v>45875</v>
      </c>
      <c r="C103" s="9" t="s">
        <v>172</v>
      </c>
      <c r="D103" s="10" t="s">
        <v>173</v>
      </c>
      <c r="E103" s="11">
        <v>46784</v>
      </c>
      <c r="F103" s="10">
        <v>144849.18</v>
      </c>
      <c r="G103" s="10">
        <v>194677.3</v>
      </c>
      <c r="H103" s="12">
        <v>2</v>
      </c>
      <c r="I103" s="15">
        <v>30</v>
      </c>
      <c r="J103">
        <f t="shared" si="1"/>
        <v>6489.24333333333</v>
      </c>
    </row>
    <row r="104" customHeight="1" spans="2:10">
      <c r="B104" s="8">
        <v>45878</v>
      </c>
      <c r="C104" s="9" t="s">
        <v>174</v>
      </c>
      <c r="D104" s="10" t="s">
        <v>67</v>
      </c>
      <c r="E104" s="11">
        <v>46478</v>
      </c>
      <c r="F104" s="10">
        <v>24816</v>
      </c>
      <c r="G104" s="10">
        <v>33352.7</v>
      </c>
      <c r="H104" s="12">
        <v>4</v>
      </c>
      <c r="I104" s="15">
        <v>5</v>
      </c>
      <c r="J104">
        <f t="shared" si="1"/>
        <v>6670.54</v>
      </c>
    </row>
    <row r="105" customHeight="1" spans="2:10">
      <c r="B105" s="8">
        <v>45714</v>
      </c>
      <c r="C105" s="9" t="s">
        <v>175</v>
      </c>
      <c r="D105" s="10" t="s">
        <v>176</v>
      </c>
      <c r="E105" s="11">
        <v>47058</v>
      </c>
      <c r="F105" s="10">
        <v>96139.68</v>
      </c>
      <c r="G105" s="10">
        <v>123827.91</v>
      </c>
      <c r="H105" s="12">
        <v>4</v>
      </c>
      <c r="I105" s="15">
        <v>50</v>
      </c>
      <c r="J105">
        <f t="shared" si="1"/>
        <v>2476.5582</v>
      </c>
    </row>
    <row r="106" customHeight="1" spans="2:10">
      <c r="B106" s="8">
        <v>45764</v>
      </c>
      <c r="C106" s="9" t="s">
        <v>177</v>
      </c>
      <c r="D106" s="10" t="s">
        <v>22</v>
      </c>
      <c r="E106" s="11">
        <v>47453</v>
      </c>
      <c r="F106" s="10">
        <v>1800.96</v>
      </c>
      <c r="G106" s="10">
        <v>22.4</v>
      </c>
      <c r="H106" s="12">
        <v>130</v>
      </c>
      <c r="I106" s="15">
        <v>1</v>
      </c>
      <c r="J106">
        <f t="shared" si="1"/>
        <v>22.4</v>
      </c>
    </row>
    <row r="107" customHeight="1" spans="2:10">
      <c r="B107" s="8">
        <v>45764</v>
      </c>
      <c r="C107" s="9" t="s">
        <v>178</v>
      </c>
      <c r="D107" s="10" t="s">
        <v>179</v>
      </c>
      <c r="E107" s="11">
        <v>46722</v>
      </c>
      <c r="F107" s="10">
        <v>84000</v>
      </c>
      <c r="G107" s="10">
        <v>112896</v>
      </c>
      <c r="H107" s="12">
        <v>20</v>
      </c>
      <c r="I107" s="15">
        <v>1</v>
      </c>
      <c r="J107">
        <f t="shared" si="1"/>
        <v>112896</v>
      </c>
    </row>
    <row r="108" customHeight="1" spans="2:10">
      <c r="B108" s="8">
        <v>45763</v>
      </c>
      <c r="C108" s="9" t="s">
        <v>180</v>
      </c>
      <c r="D108" s="10" t="s">
        <v>181</v>
      </c>
      <c r="E108" s="11">
        <v>45962</v>
      </c>
      <c r="F108" s="10">
        <v>79968</v>
      </c>
      <c r="G108" s="10">
        <v>107476.99</v>
      </c>
      <c r="H108" s="12">
        <v>13</v>
      </c>
      <c r="I108" s="15">
        <v>10</v>
      </c>
      <c r="J108">
        <f t="shared" si="1"/>
        <v>10747.699</v>
      </c>
    </row>
    <row r="109" customHeight="1" spans="2:10">
      <c r="B109" s="8">
        <v>45588</v>
      </c>
      <c r="C109" s="9" t="s">
        <v>182</v>
      </c>
      <c r="D109" s="10" t="s">
        <v>183</v>
      </c>
      <c r="E109" s="11">
        <v>47088</v>
      </c>
      <c r="F109" s="10">
        <v>26146.4</v>
      </c>
      <c r="G109" s="10">
        <v>30000</v>
      </c>
      <c r="H109" s="12">
        <v>8</v>
      </c>
      <c r="I109" s="15">
        <v>10</v>
      </c>
      <c r="J109">
        <f t="shared" si="1"/>
        <v>3000</v>
      </c>
    </row>
    <row r="110" customHeight="1" spans="2:10">
      <c r="B110" s="8">
        <v>45878</v>
      </c>
      <c r="C110" s="9" t="s">
        <v>184</v>
      </c>
      <c r="D110" s="10" t="s">
        <v>185</v>
      </c>
      <c r="E110" s="11">
        <v>47515</v>
      </c>
      <c r="F110" s="10">
        <v>348836</v>
      </c>
      <c r="G110" s="10">
        <v>468835.58</v>
      </c>
      <c r="H110" s="12">
        <v>3</v>
      </c>
      <c r="I110" s="15">
        <v>10</v>
      </c>
      <c r="J110">
        <f t="shared" si="1"/>
        <v>46883.558</v>
      </c>
    </row>
    <row r="111" customHeight="1" spans="2:10">
      <c r="B111" s="8">
        <v>45588</v>
      </c>
      <c r="C111" s="9" t="s">
        <v>186</v>
      </c>
      <c r="D111" s="10" t="s">
        <v>187</v>
      </c>
      <c r="E111" s="11">
        <v>47058</v>
      </c>
      <c r="F111" s="10">
        <v>11872</v>
      </c>
      <c r="G111" s="10">
        <v>14000</v>
      </c>
      <c r="H111" s="12">
        <v>4</v>
      </c>
      <c r="I111" s="15">
        <v>10</v>
      </c>
      <c r="J111">
        <f t="shared" si="1"/>
        <v>1400</v>
      </c>
    </row>
    <row r="112" customHeight="1" spans="2:10">
      <c r="B112" s="8">
        <v>45316</v>
      </c>
      <c r="C112" s="9" t="s">
        <v>188</v>
      </c>
      <c r="D112" s="10" t="s">
        <v>189</v>
      </c>
      <c r="E112" s="11">
        <v>45839</v>
      </c>
      <c r="F112" s="10">
        <v>107826.09</v>
      </c>
      <c r="G112" s="10">
        <v>124000</v>
      </c>
      <c r="H112" s="12">
        <v>2</v>
      </c>
      <c r="I112" s="15">
        <v>40</v>
      </c>
      <c r="J112">
        <f t="shared" si="1"/>
        <v>3100</v>
      </c>
    </row>
    <row r="113" customHeight="1" spans="2:10">
      <c r="B113" s="8">
        <v>45703</v>
      </c>
      <c r="C113" s="9" t="s">
        <v>190</v>
      </c>
      <c r="D113" s="10" t="s">
        <v>191</v>
      </c>
      <c r="E113" s="11">
        <v>46054</v>
      </c>
      <c r="F113" s="10">
        <v>4347.83</v>
      </c>
      <c r="G113" s="10">
        <v>5000</v>
      </c>
      <c r="H113" s="12">
        <v>40</v>
      </c>
      <c r="I113" s="15">
        <v>1</v>
      </c>
      <c r="J113">
        <f t="shared" si="1"/>
        <v>5000</v>
      </c>
    </row>
    <row r="114" customHeight="1" spans="2:10">
      <c r="B114" s="8">
        <v>45852</v>
      </c>
      <c r="C114" s="9" t="s">
        <v>192</v>
      </c>
      <c r="D114" s="10" t="s">
        <v>22</v>
      </c>
      <c r="E114" s="11">
        <v>47453</v>
      </c>
      <c r="F114" s="10">
        <v>387000</v>
      </c>
      <c r="G114" s="10">
        <v>520128</v>
      </c>
      <c r="H114" s="12">
        <v>1</v>
      </c>
      <c r="I114" s="15">
        <v>1</v>
      </c>
      <c r="J114">
        <f t="shared" si="1"/>
        <v>520128</v>
      </c>
    </row>
    <row r="115" customHeight="1" spans="2:10">
      <c r="B115" s="8">
        <v>45884</v>
      </c>
      <c r="C115" s="9" t="s">
        <v>193</v>
      </c>
      <c r="D115" s="10" t="s">
        <v>194</v>
      </c>
      <c r="E115" s="11">
        <v>46447</v>
      </c>
      <c r="F115" s="10">
        <v>1167317.2</v>
      </c>
      <c r="G115" s="10">
        <v>1568874.32</v>
      </c>
      <c r="H115" s="12">
        <v>1</v>
      </c>
      <c r="I115" s="15">
        <v>10</v>
      </c>
      <c r="J115">
        <f t="shared" si="1"/>
        <v>156887.432</v>
      </c>
    </row>
    <row r="116" customHeight="1" spans="2:10">
      <c r="B116" s="8">
        <v>45864</v>
      </c>
      <c r="C116" s="9" t="s">
        <v>195</v>
      </c>
      <c r="D116" s="10" t="s">
        <v>196</v>
      </c>
      <c r="E116" s="11">
        <v>46874</v>
      </c>
      <c r="F116" s="10">
        <v>22290.24</v>
      </c>
      <c r="G116" s="10">
        <v>29958.08</v>
      </c>
      <c r="H116" s="12">
        <v>10</v>
      </c>
      <c r="I116" s="15">
        <v>1</v>
      </c>
      <c r="J116">
        <f t="shared" ref="J116:J165" si="2">SUM(G116/I116)</f>
        <v>29958.08</v>
      </c>
    </row>
    <row r="117" customHeight="1" spans="2:10">
      <c r="B117" s="8">
        <v>45881</v>
      </c>
      <c r="C117" s="9" t="s">
        <v>197</v>
      </c>
      <c r="D117" s="10" t="s">
        <v>127</v>
      </c>
      <c r="E117" s="11">
        <v>46478</v>
      </c>
      <c r="F117" s="10">
        <v>20700.16</v>
      </c>
      <c r="G117" s="10">
        <v>27821.01</v>
      </c>
      <c r="H117" s="12">
        <v>58</v>
      </c>
      <c r="I117" s="15">
        <v>1</v>
      </c>
      <c r="J117">
        <f t="shared" si="2"/>
        <v>27821.01</v>
      </c>
    </row>
    <row r="118" customHeight="1" spans="2:10">
      <c r="B118" s="8">
        <v>45853</v>
      </c>
      <c r="C118" s="9" t="s">
        <v>198</v>
      </c>
      <c r="D118" s="10" t="s">
        <v>22</v>
      </c>
      <c r="E118" s="11">
        <v>73020</v>
      </c>
      <c r="F118" s="10">
        <v>115000</v>
      </c>
      <c r="G118" s="10">
        <v>154560</v>
      </c>
      <c r="H118" s="12">
        <v>1</v>
      </c>
      <c r="I118" s="15">
        <v>1</v>
      </c>
      <c r="J118">
        <f t="shared" si="2"/>
        <v>154560</v>
      </c>
    </row>
    <row r="119" customHeight="1" spans="2:10">
      <c r="B119" s="8">
        <v>45316</v>
      </c>
      <c r="C119" s="9" t="s">
        <v>199</v>
      </c>
      <c r="D119" s="10" t="s">
        <v>200</v>
      </c>
      <c r="E119" s="11">
        <v>46143</v>
      </c>
      <c r="F119" s="10">
        <v>70608.7</v>
      </c>
      <c r="G119" s="10">
        <v>81200</v>
      </c>
      <c r="H119" s="12">
        <v>3</v>
      </c>
      <c r="I119" s="15">
        <v>28</v>
      </c>
      <c r="J119">
        <f t="shared" si="2"/>
        <v>2900</v>
      </c>
    </row>
    <row r="120" customHeight="1" spans="2:10">
      <c r="B120" s="8">
        <v>45827</v>
      </c>
      <c r="C120" s="9" t="s">
        <v>201</v>
      </c>
      <c r="D120" s="10" t="s">
        <v>202</v>
      </c>
      <c r="E120" s="11">
        <v>46023</v>
      </c>
      <c r="F120" s="10">
        <v>89936</v>
      </c>
      <c r="G120" s="10">
        <v>120873.98</v>
      </c>
      <c r="H120" s="12">
        <v>23</v>
      </c>
      <c r="I120" s="15">
        <v>10</v>
      </c>
      <c r="J120">
        <f t="shared" si="2"/>
        <v>12087.398</v>
      </c>
    </row>
    <row r="121" customHeight="1" spans="2:10">
      <c r="B121" s="8">
        <v>45622</v>
      </c>
      <c r="C121" s="9" t="s">
        <v>203</v>
      </c>
      <c r="D121" s="10" t="s">
        <v>204</v>
      </c>
      <c r="E121" s="11">
        <v>46054</v>
      </c>
      <c r="F121" s="10">
        <v>2968</v>
      </c>
      <c r="G121" s="10">
        <v>3500</v>
      </c>
      <c r="H121" s="12">
        <v>19</v>
      </c>
      <c r="I121" s="15">
        <v>10</v>
      </c>
      <c r="J121">
        <f t="shared" si="2"/>
        <v>350</v>
      </c>
    </row>
    <row r="122" customHeight="1" spans="2:10">
      <c r="B122" s="8">
        <v>45884</v>
      </c>
      <c r="C122" s="9" t="s">
        <v>205</v>
      </c>
      <c r="D122" s="10" t="s">
        <v>206</v>
      </c>
      <c r="E122" s="11">
        <v>46054</v>
      </c>
      <c r="F122" s="10">
        <v>483767.2</v>
      </c>
      <c r="G122" s="10">
        <v>650183.12</v>
      </c>
      <c r="H122" s="12">
        <v>16</v>
      </c>
      <c r="I122" s="15">
        <v>10</v>
      </c>
      <c r="J122">
        <f t="shared" si="2"/>
        <v>65018.312</v>
      </c>
    </row>
    <row r="123" customHeight="1" spans="2:10">
      <c r="B123" s="8">
        <v>45878</v>
      </c>
      <c r="C123" s="9" t="s">
        <v>207</v>
      </c>
      <c r="D123" s="10" t="s">
        <v>67</v>
      </c>
      <c r="E123" s="11">
        <v>47574</v>
      </c>
      <c r="F123" s="10">
        <v>8648</v>
      </c>
      <c r="G123" s="10">
        <v>11622.91</v>
      </c>
      <c r="H123" s="12">
        <v>10</v>
      </c>
      <c r="I123" s="15">
        <v>1</v>
      </c>
      <c r="J123">
        <f t="shared" si="2"/>
        <v>11622.91</v>
      </c>
    </row>
    <row r="124" customHeight="1" spans="2:10">
      <c r="B124" s="8">
        <v>45878</v>
      </c>
      <c r="C124" s="9" t="s">
        <v>208</v>
      </c>
      <c r="D124" s="10" t="s">
        <v>209</v>
      </c>
      <c r="E124" s="11">
        <v>46388</v>
      </c>
      <c r="F124" s="10">
        <v>210842</v>
      </c>
      <c r="G124" s="10">
        <v>283371.65</v>
      </c>
      <c r="H124" s="12">
        <v>15</v>
      </c>
      <c r="I124" s="15">
        <v>5</v>
      </c>
      <c r="J124">
        <f t="shared" si="2"/>
        <v>56674.33</v>
      </c>
    </row>
    <row r="125" customHeight="1" spans="2:10">
      <c r="B125" s="8">
        <v>45890</v>
      </c>
      <c r="C125" s="9" t="s">
        <v>210</v>
      </c>
      <c r="D125" s="10" t="s">
        <v>211</v>
      </c>
      <c r="E125" s="11">
        <v>46357</v>
      </c>
      <c r="F125" s="10">
        <v>178700.21</v>
      </c>
      <c r="G125" s="10">
        <v>240173.08</v>
      </c>
      <c r="H125" s="12">
        <v>24</v>
      </c>
      <c r="I125" s="15">
        <v>10</v>
      </c>
      <c r="J125">
        <f t="shared" si="2"/>
        <v>24017.308</v>
      </c>
    </row>
    <row r="126" customHeight="1" spans="2:10">
      <c r="B126" s="8">
        <v>45316</v>
      </c>
      <c r="C126" s="9" t="s">
        <v>212</v>
      </c>
      <c r="D126" s="10" t="s">
        <v>213</v>
      </c>
      <c r="E126" s="11">
        <v>46905</v>
      </c>
      <c r="F126" s="10">
        <v>35304.35</v>
      </c>
      <c r="G126" s="10">
        <v>40600</v>
      </c>
      <c r="H126" s="12">
        <v>4</v>
      </c>
      <c r="I126" s="15">
        <v>28</v>
      </c>
      <c r="J126">
        <f t="shared" si="2"/>
        <v>1450</v>
      </c>
    </row>
    <row r="127" customHeight="1" spans="2:10">
      <c r="B127" s="8">
        <v>45854</v>
      </c>
      <c r="C127" s="9" t="s">
        <v>214</v>
      </c>
      <c r="D127" s="10" t="s">
        <v>112</v>
      </c>
      <c r="E127" s="11">
        <v>46357</v>
      </c>
      <c r="F127" s="10">
        <v>6586.72</v>
      </c>
      <c r="G127" s="10">
        <v>8852.55</v>
      </c>
      <c r="H127" s="12">
        <v>10</v>
      </c>
      <c r="I127" s="15">
        <v>1</v>
      </c>
      <c r="J127">
        <f t="shared" si="2"/>
        <v>8852.55</v>
      </c>
    </row>
    <row r="128" customHeight="1" spans="2:10">
      <c r="B128" s="8">
        <v>45790</v>
      </c>
      <c r="C128" s="9" t="s">
        <v>215</v>
      </c>
      <c r="D128" s="10" t="s">
        <v>216</v>
      </c>
      <c r="E128" s="11">
        <v>46600</v>
      </c>
      <c r="F128" s="10">
        <v>7999.04</v>
      </c>
      <c r="G128" s="10">
        <v>10750.71</v>
      </c>
      <c r="H128" s="12">
        <v>33</v>
      </c>
      <c r="I128" s="15">
        <v>10</v>
      </c>
      <c r="J128">
        <f t="shared" si="2"/>
        <v>1075.071</v>
      </c>
    </row>
    <row r="129" customHeight="1" spans="2:10">
      <c r="B129" s="8">
        <v>45856</v>
      </c>
      <c r="C129" s="9" t="s">
        <v>217</v>
      </c>
      <c r="D129" s="10" t="s">
        <v>123</v>
      </c>
      <c r="E129" s="11">
        <v>46753</v>
      </c>
      <c r="F129" s="10">
        <v>20360</v>
      </c>
      <c r="G129" s="10">
        <v>27363.84</v>
      </c>
      <c r="H129" s="12">
        <v>4</v>
      </c>
      <c r="I129" s="15">
        <v>1</v>
      </c>
      <c r="J129">
        <f t="shared" si="2"/>
        <v>27363.84</v>
      </c>
    </row>
    <row r="130" customHeight="1" spans="2:10">
      <c r="B130" s="8">
        <v>45316</v>
      </c>
      <c r="C130" s="9" t="s">
        <v>218</v>
      </c>
      <c r="D130" s="10" t="s">
        <v>219</v>
      </c>
      <c r="E130" s="11">
        <v>46357</v>
      </c>
      <c r="F130" s="10">
        <v>2173.91</v>
      </c>
      <c r="G130" s="10">
        <v>2500</v>
      </c>
      <c r="H130" s="12">
        <v>2</v>
      </c>
      <c r="I130" s="15">
        <v>1</v>
      </c>
      <c r="J130">
        <f t="shared" si="2"/>
        <v>2500</v>
      </c>
    </row>
    <row r="131" customHeight="1" spans="2:10">
      <c r="B131" s="8">
        <v>45316</v>
      </c>
      <c r="C131" s="9" t="s">
        <v>220</v>
      </c>
      <c r="D131" s="10" t="s">
        <v>221</v>
      </c>
      <c r="E131" s="11">
        <v>46661</v>
      </c>
      <c r="F131" s="10">
        <v>8695.65</v>
      </c>
      <c r="G131" s="10">
        <v>10000</v>
      </c>
      <c r="H131" s="12">
        <v>7</v>
      </c>
      <c r="I131" s="15">
        <v>1</v>
      </c>
      <c r="J131">
        <f t="shared" si="2"/>
        <v>10000</v>
      </c>
    </row>
    <row r="132" customHeight="1" spans="2:10">
      <c r="B132" s="8">
        <v>45856</v>
      </c>
      <c r="C132" s="9" t="s">
        <v>222</v>
      </c>
      <c r="D132" s="10" t="s">
        <v>22</v>
      </c>
      <c r="E132" s="11">
        <v>47818</v>
      </c>
      <c r="F132" s="10">
        <v>3640</v>
      </c>
      <c r="G132" s="10">
        <v>4892.16</v>
      </c>
      <c r="H132" s="12">
        <v>588</v>
      </c>
      <c r="I132" s="15">
        <v>1</v>
      </c>
      <c r="J132">
        <f t="shared" si="2"/>
        <v>4892.16</v>
      </c>
    </row>
    <row r="133" customHeight="1" spans="2:10">
      <c r="B133" s="8">
        <v>45756</v>
      </c>
      <c r="C133" s="9" t="s">
        <v>223</v>
      </c>
      <c r="D133" s="10" t="s">
        <v>224</v>
      </c>
      <c r="E133" s="11">
        <v>46997</v>
      </c>
      <c r="F133" s="10">
        <v>24460.8</v>
      </c>
      <c r="G133" s="10">
        <v>32875.32</v>
      </c>
      <c r="H133" s="12">
        <v>5</v>
      </c>
      <c r="I133" s="15">
        <v>10</v>
      </c>
      <c r="J133">
        <f t="shared" si="2"/>
        <v>3287.532</v>
      </c>
    </row>
    <row r="134" customHeight="1" spans="2:10">
      <c r="B134" s="8">
        <v>45843</v>
      </c>
      <c r="C134" s="9" t="s">
        <v>225</v>
      </c>
      <c r="D134" s="10" t="s">
        <v>226</v>
      </c>
      <c r="E134" s="11">
        <v>46935</v>
      </c>
      <c r="F134" s="10">
        <v>3999.52</v>
      </c>
      <c r="G134" s="10">
        <v>5375.35</v>
      </c>
      <c r="H134" s="12">
        <v>40</v>
      </c>
      <c r="I134" s="15">
        <v>1</v>
      </c>
      <c r="J134">
        <f t="shared" si="2"/>
        <v>5375.35</v>
      </c>
    </row>
    <row r="135" customHeight="1" spans="2:10">
      <c r="B135" s="8">
        <v>45878</v>
      </c>
      <c r="C135" s="9" t="s">
        <v>227</v>
      </c>
      <c r="D135" s="10" t="s">
        <v>228</v>
      </c>
      <c r="E135" s="11">
        <v>46753</v>
      </c>
      <c r="F135" s="10">
        <v>9306</v>
      </c>
      <c r="G135" s="10">
        <v>12507.26</v>
      </c>
      <c r="H135" s="12">
        <v>50</v>
      </c>
      <c r="I135" s="15">
        <v>1</v>
      </c>
      <c r="J135">
        <f t="shared" si="2"/>
        <v>12507.26</v>
      </c>
    </row>
    <row r="136" customHeight="1" spans="2:10">
      <c r="B136" s="8">
        <v>45316</v>
      </c>
      <c r="C136" s="9" t="s">
        <v>229</v>
      </c>
      <c r="D136" s="10" t="s">
        <v>230</v>
      </c>
      <c r="E136" s="11">
        <v>46722</v>
      </c>
      <c r="F136" s="10">
        <v>23478.26</v>
      </c>
      <c r="G136" s="10">
        <v>27000</v>
      </c>
      <c r="H136" s="12">
        <v>9.666667</v>
      </c>
      <c r="I136" s="15">
        <v>30</v>
      </c>
      <c r="J136">
        <f t="shared" si="2"/>
        <v>900</v>
      </c>
    </row>
    <row r="137" customHeight="1" spans="2:10">
      <c r="B137" s="8">
        <v>45316</v>
      </c>
      <c r="C137" s="9" t="s">
        <v>231</v>
      </c>
      <c r="D137" s="10" t="s">
        <v>232</v>
      </c>
      <c r="E137" s="11">
        <v>46661</v>
      </c>
      <c r="F137" s="10">
        <v>32173.91</v>
      </c>
      <c r="G137" s="10">
        <v>37000</v>
      </c>
      <c r="H137" s="12">
        <v>19.666667</v>
      </c>
      <c r="I137" s="15">
        <v>30</v>
      </c>
      <c r="J137">
        <f t="shared" si="2"/>
        <v>1233.33333333333</v>
      </c>
    </row>
    <row r="138" customHeight="1" spans="2:10">
      <c r="B138" s="8">
        <v>45714</v>
      </c>
      <c r="C138" s="9" t="s">
        <v>233</v>
      </c>
      <c r="D138" s="10" t="s">
        <v>234</v>
      </c>
      <c r="E138" s="11">
        <v>46692</v>
      </c>
      <c r="F138" s="10">
        <v>5287.52</v>
      </c>
      <c r="G138" s="10">
        <v>6810.33</v>
      </c>
      <c r="H138" s="12">
        <v>70</v>
      </c>
      <c r="I138" s="15">
        <v>1</v>
      </c>
      <c r="J138">
        <f t="shared" si="2"/>
        <v>6810.33</v>
      </c>
    </row>
    <row r="139" customHeight="1" spans="2:10">
      <c r="B139" s="8">
        <v>45316</v>
      </c>
      <c r="C139" s="9" t="s">
        <v>235</v>
      </c>
      <c r="D139" s="10" t="s">
        <v>236</v>
      </c>
      <c r="E139" s="11">
        <v>45962</v>
      </c>
      <c r="F139" s="10">
        <v>7826.09</v>
      </c>
      <c r="G139" s="10">
        <v>9000</v>
      </c>
      <c r="H139" s="12">
        <v>0.4</v>
      </c>
      <c r="I139" s="15">
        <v>50</v>
      </c>
      <c r="J139">
        <f t="shared" si="2"/>
        <v>180</v>
      </c>
    </row>
    <row r="140" customHeight="1" spans="2:10">
      <c r="B140" s="8">
        <v>45765</v>
      </c>
      <c r="C140" s="9" t="s">
        <v>237</v>
      </c>
      <c r="D140" s="10" t="s">
        <v>22</v>
      </c>
      <c r="E140" s="11">
        <v>47088</v>
      </c>
      <c r="F140" s="10">
        <v>65000</v>
      </c>
      <c r="G140" s="10">
        <v>87360</v>
      </c>
      <c r="H140" s="12">
        <v>2</v>
      </c>
      <c r="I140" s="15">
        <v>1</v>
      </c>
      <c r="J140">
        <f t="shared" si="2"/>
        <v>87360</v>
      </c>
    </row>
    <row r="141" customHeight="1" spans="2:10">
      <c r="B141" s="8">
        <v>45763</v>
      </c>
      <c r="C141" s="9" t="s">
        <v>238</v>
      </c>
      <c r="D141" s="10" t="s">
        <v>239</v>
      </c>
      <c r="E141" s="11">
        <v>46082</v>
      </c>
      <c r="F141" s="10">
        <v>9854.88</v>
      </c>
      <c r="G141" s="10">
        <v>13244.96</v>
      </c>
      <c r="H141" s="12">
        <v>4</v>
      </c>
      <c r="I141" s="15">
        <v>10</v>
      </c>
      <c r="J141">
        <f t="shared" si="2"/>
        <v>1324.496</v>
      </c>
    </row>
    <row r="142" customHeight="1" spans="2:10">
      <c r="B142" s="8">
        <v>45838</v>
      </c>
      <c r="C142" s="9" t="s">
        <v>238</v>
      </c>
      <c r="D142" s="10" t="s">
        <v>240</v>
      </c>
      <c r="E142" s="11">
        <v>46174</v>
      </c>
      <c r="F142" s="10">
        <v>9854.88</v>
      </c>
      <c r="G142" s="10">
        <v>13244.96</v>
      </c>
      <c r="H142" s="12">
        <v>12</v>
      </c>
      <c r="I142" s="15">
        <v>10</v>
      </c>
      <c r="J142">
        <f t="shared" si="2"/>
        <v>1324.496</v>
      </c>
    </row>
    <row r="143" customHeight="1" spans="2:10">
      <c r="B143" s="8">
        <v>45843</v>
      </c>
      <c r="C143" s="9" t="s">
        <v>241</v>
      </c>
      <c r="D143" s="10" t="s">
        <v>242</v>
      </c>
      <c r="E143" s="11">
        <v>46844</v>
      </c>
      <c r="F143" s="10">
        <v>5999.84</v>
      </c>
      <c r="G143" s="10">
        <v>8063.79</v>
      </c>
      <c r="H143" s="12">
        <v>780</v>
      </c>
      <c r="I143" s="15">
        <v>1</v>
      </c>
      <c r="J143">
        <f t="shared" si="2"/>
        <v>8063.79</v>
      </c>
    </row>
    <row r="144" customHeight="1" spans="2:10">
      <c r="B144" s="8">
        <v>45864</v>
      </c>
      <c r="C144" s="9" t="s">
        <v>243</v>
      </c>
      <c r="D144" s="10" t="s">
        <v>244</v>
      </c>
      <c r="E144" s="11">
        <v>46692</v>
      </c>
      <c r="F144" s="10">
        <v>2544.64</v>
      </c>
      <c r="G144" s="10">
        <v>3420</v>
      </c>
      <c r="H144" s="12">
        <v>20</v>
      </c>
      <c r="I144" s="15">
        <v>1</v>
      </c>
      <c r="J144">
        <f t="shared" si="2"/>
        <v>3420</v>
      </c>
    </row>
    <row r="145" customHeight="1" spans="2:10">
      <c r="B145" s="8">
        <v>45756</v>
      </c>
      <c r="C145" s="9" t="s">
        <v>245</v>
      </c>
      <c r="D145" s="10" t="s">
        <v>246</v>
      </c>
      <c r="E145" s="11">
        <v>46082</v>
      </c>
      <c r="F145" s="10">
        <v>47520</v>
      </c>
      <c r="G145" s="10">
        <v>63866.88</v>
      </c>
      <c r="H145" s="12">
        <v>1</v>
      </c>
      <c r="I145" s="15">
        <v>1</v>
      </c>
      <c r="J145">
        <f t="shared" si="2"/>
        <v>63866.88</v>
      </c>
    </row>
    <row r="146" customHeight="1" spans="2:10">
      <c r="B146" s="8">
        <v>45667</v>
      </c>
      <c r="C146" s="9" t="s">
        <v>247</v>
      </c>
      <c r="D146" s="10" t="s">
        <v>248</v>
      </c>
      <c r="E146" s="11">
        <v>46143</v>
      </c>
      <c r="F146" s="10">
        <v>80190</v>
      </c>
      <c r="G146" s="10">
        <v>90000</v>
      </c>
      <c r="H146" s="12">
        <v>2</v>
      </c>
      <c r="I146" s="15">
        <v>30</v>
      </c>
      <c r="J146">
        <f t="shared" si="2"/>
        <v>3000</v>
      </c>
    </row>
    <row r="147" customHeight="1" spans="2:10">
      <c r="B147" s="8">
        <v>45320</v>
      </c>
      <c r="C147" s="9" t="s">
        <v>249</v>
      </c>
      <c r="D147" s="10" t="s">
        <v>250</v>
      </c>
      <c r="E147" s="11">
        <v>45992</v>
      </c>
      <c r="F147" s="10">
        <v>8060</v>
      </c>
      <c r="G147" s="10">
        <v>9300</v>
      </c>
      <c r="H147" s="12">
        <v>5</v>
      </c>
      <c r="I147" s="15">
        <v>20</v>
      </c>
      <c r="J147">
        <f t="shared" si="2"/>
        <v>465</v>
      </c>
    </row>
    <row r="148" customHeight="1" spans="2:10">
      <c r="B148" s="8">
        <v>45316</v>
      </c>
      <c r="C148" s="9" t="s">
        <v>249</v>
      </c>
      <c r="D148" s="10" t="s">
        <v>250</v>
      </c>
      <c r="E148" s="11">
        <v>45992</v>
      </c>
      <c r="F148" s="10">
        <v>8434.78</v>
      </c>
      <c r="G148" s="10">
        <v>9700</v>
      </c>
      <c r="H148" s="12">
        <v>5</v>
      </c>
      <c r="I148" s="15">
        <v>20</v>
      </c>
      <c r="J148">
        <f t="shared" si="2"/>
        <v>485</v>
      </c>
    </row>
    <row r="149" customHeight="1" spans="2:10">
      <c r="B149" s="8">
        <v>45884</v>
      </c>
      <c r="C149" s="9" t="s">
        <v>251</v>
      </c>
      <c r="D149" s="10" t="s">
        <v>202</v>
      </c>
      <c r="E149" s="11">
        <v>47239</v>
      </c>
      <c r="F149" s="10">
        <v>3300</v>
      </c>
      <c r="G149" s="10">
        <v>4300</v>
      </c>
      <c r="H149" s="12">
        <v>300</v>
      </c>
      <c r="I149" s="15">
        <v>10</v>
      </c>
      <c r="J149">
        <f t="shared" si="2"/>
        <v>430</v>
      </c>
    </row>
    <row r="150" customHeight="1" spans="2:10">
      <c r="B150" s="8">
        <v>45736</v>
      </c>
      <c r="C150" s="9" t="s">
        <v>252</v>
      </c>
      <c r="D150" s="10" t="s">
        <v>253</v>
      </c>
      <c r="E150" s="11">
        <v>46784</v>
      </c>
      <c r="F150" s="10">
        <v>2860.48</v>
      </c>
      <c r="G150" s="10">
        <v>3844.49</v>
      </c>
      <c r="H150" s="12">
        <v>13</v>
      </c>
      <c r="I150" s="15">
        <v>10</v>
      </c>
      <c r="J150">
        <f t="shared" si="2"/>
        <v>384.449</v>
      </c>
    </row>
    <row r="151" customHeight="1" spans="2:10">
      <c r="B151" s="8">
        <v>45756</v>
      </c>
      <c r="C151" s="9" t="s">
        <v>254</v>
      </c>
      <c r="D151" s="10" t="s">
        <v>255</v>
      </c>
      <c r="E151" s="11">
        <v>46388</v>
      </c>
      <c r="F151" s="10">
        <v>59467.21</v>
      </c>
      <c r="G151" s="10">
        <v>79923.93</v>
      </c>
      <c r="H151" s="12">
        <v>10</v>
      </c>
      <c r="I151" s="15">
        <v>1</v>
      </c>
      <c r="J151">
        <f t="shared" si="2"/>
        <v>79923.93</v>
      </c>
    </row>
    <row r="152" customHeight="1" spans="2:10">
      <c r="B152" s="8">
        <v>45890</v>
      </c>
      <c r="C152" s="9" t="s">
        <v>256</v>
      </c>
      <c r="D152" s="10" t="s">
        <v>257</v>
      </c>
      <c r="E152" s="11">
        <v>46631</v>
      </c>
      <c r="F152" s="10">
        <v>127676.75</v>
      </c>
      <c r="G152" s="10">
        <v>171597.55</v>
      </c>
      <c r="H152" s="12">
        <v>10</v>
      </c>
      <c r="I152" s="15">
        <v>25</v>
      </c>
      <c r="J152">
        <f t="shared" si="2"/>
        <v>6863.902</v>
      </c>
    </row>
    <row r="153" customHeight="1" spans="2:10">
      <c r="B153" s="8">
        <v>45829</v>
      </c>
      <c r="C153" s="9" t="s">
        <v>258</v>
      </c>
      <c r="D153" s="10" t="s">
        <v>259</v>
      </c>
      <c r="E153" s="11">
        <v>46357</v>
      </c>
      <c r="F153" s="10">
        <v>11953.76</v>
      </c>
      <c r="G153" s="10">
        <v>16065.85</v>
      </c>
      <c r="H153" s="12">
        <v>14</v>
      </c>
      <c r="I153" s="15">
        <v>10</v>
      </c>
      <c r="J153">
        <f t="shared" si="2"/>
        <v>1606.585</v>
      </c>
    </row>
    <row r="154" customHeight="1" spans="2:10">
      <c r="B154" s="8">
        <v>45764</v>
      </c>
      <c r="C154" s="9" t="s">
        <v>260</v>
      </c>
      <c r="D154" s="10" t="s">
        <v>261</v>
      </c>
      <c r="E154" s="11">
        <v>46204</v>
      </c>
      <c r="F154" s="10">
        <v>11700</v>
      </c>
      <c r="G154" s="10">
        <v>15724.8</v>
      </c>
      <c r="H154" s="12">
        <v>19</v>
      </c>
      <c r="I154" s="15">
        <v>10</v>
      </c>
      <c r="J154">
        <f t="shared" si="2"/>
        <v>1572.48</v>
      </c>
    </row>
    <row r="155" customHeight="1" spans="2:10">
      <c r="B155" s="8">
        <v>45316</v>
      </c>
      <c r="C155" s="9" t="s">
        <v>262</v>
      </c>
      <c r="D155" s="10" t="s">
        <v>263</v>
      </c>
      <c r="E155" s="11">
        <v>46204</v>
      </c>
      <c r="F155" s="10">
        <v>4347.83</v>
      </c>
      <c r="G155" s="10">
        <v>5000</v>
      </c>
      <c r="H155" s="12">
        <v>4</v>
      </c>
      <c r="I155" s="15">
        <v>10</v>
      </c>
      <c r="J155">
        <f t="shared" si="2"/>
        <v>500</v>
      </c>
    </row>
    <row r="156" customHeight="1" spans="2:10">
      <c r="B156" s="8">
        <v>45320</v>
      </c>
      <c r="C156" s="9" t="s">
        <v>264</v>
      </c>
      <c r="D156" s="10" t="s">
        <v>265</v>
      </c>
      <c r="E156" s="11">
        <v>46692</v>
      </c>
      <c r="F156" s="10">
        <v>2370</v>
      </c>
      <c r="G156" s="10">
        <v>2700</v>
      </c>
      <c r="H156" s="12">
        <v>3</v>
      </c>
      <c r="I156" s="15">
        <v>10</v>
      </c>
      <c r="J156">
        <f t="shared" si="2"/>
        <v>270</v>
      </c>
    </row>
    <row r="157" customHeight="1" spans="2:10">
      <c r="B157" s="8">
        <v>45878</v>
      </c>
      <c r="C157" s="9" t="s">
        <v>266</v>
      </c>
      <c r="D157" s="10" t="s">
        <v>102</v>
      </c>
      <c r="E157" s="11">
        <v>46478</v>
      </c>
      <c r="F157" s="10">
        <v>8084</v>
      </c>
      <c r="G157" s="10">
        <v>10864.9</v>
      </c>
      <c r="H157" s="12">
        <v>6</v>
      </c>
      <c r="I157" s="15">
        <v>5</v>
      </c>
      <c r="J157">
        <f t="shared" si="2"/>
        <v>2172.98</v>
      </c>
    </row>
    <row r="158" customHeight="1" spans="2:10">
      <c r="B158" s="8">
        <v>45856</v>
      </c>
      <c r="C158" s="9" t="s">
        <v>267</v>
      </c>
      <c r="D158" s="10" t="s">
        <v>268</v>
      </c>
      <c r="E158" s="11">
        <v>46419</v>
      </c>
      <c r="F158" s="10">
        <v>1020</v>
      </c>
      <c r="G158" s="10">
        <v>1370.88</v>
      </c>
      <c r="H158" s="12">
        <v>70</v>
      </c>
      <c r="I158" s="15">
        <v>1</v>
      </c>
      <c r="J158">
        <f t="shared" si="2"/>
        <v>1370.88</v>
      </c>
    </row>
    <row r="159" customHeight="1" spans="2:10">
      <c r="B159" s="8">
        <v>45856</v>
      </c>
      <c r="C159" s="9" t="s">
        <v>269</v>
      </c>
      <c r="D159" s="10" t="s">
        <v>22</v>
      </c>
      <c r="E159" s="11">
        <v>47515</v>
      </c>
      <c r="F159" s="10">
        <v>410</v>
      </c>
      <c r="G159" s="10">
        <v>551.04</v>
      </c>
      <c r="H159" s="12">
        <v>7000</v>
      </c>
      <c r="I159" s="15">
        <v>1</v>
      </c>
      <c r="J159">
        <f t="shared" si="2"/>
        <v>551.04</v>
      </c>
    </row>
    <row r="160" customHeight="1" spans="2:10">
      <c r="B160" s="8">
        <v>45856</v>
      </c>
      <c r="C160" s="9" t="s">
        <v>270</v>
      </c>
      <c r="D160" s="10" t="s">
        <v>22</v>
      </c>
      <c r="E160" s="11">
        <v>47515</v>
      </c>
      <c r="F160" s="10">
        <v>410</v>
      </c>
      <c r="G160" s="10">
        <v>551.04</v>
      </c>
      <c r="H160" s="12">
        <v>6000</v>
      </c>
      <c r="I160" s="15">
        <v>1</v>
      </c>
      <c r="J160">
        <f t="shared" si="2"/>
        <v>551.04</v>
      </c>
    </row>
    <row r="161" customHeight="1" spans="2:10">
      <c r="B161" s="8">
        <v>45829</v>
      </c>
      <c r="C161" s="9" t="s">
        <v>271</v>
      </c>
      <c r="D161" s="10" t="s">
        <v>62</v>
      </c>
      <c r="E161" s="11">
        <v>47818</v>
      </c>
      <c r="F161" s="10">
        <v>3500</v>
      </c>
      <c r="G161" s="10">
        <v>4704</v>
      </c>
      <c r="H161" s="12">
        <v>400</v>
      </c>
      <c r="I161" s="15">
        <v>1</v>
      </c>
      <c r="J161">
        <f t="shared" si="2"/>
        <v>4704</v>
      </c>
    </row>
    <row r="162" customHeight="1" spans="2:10">
      <c r="B162" s="8">
        <v>45829</v>
      </c>
      <c r="C162" s="9" t="s">
        <v>272</v>
      </c>
      <c r="D162" s="10" t="s">
        <v>22</v>
      </c>
      <c r="E162" s="11">
        <v>47818</v>
      </c>
      <c r="F162" s="10">
        <v>2890</v>
      </c>
      <c r="G162" s="10">
        <v>3884.16</v>
      </c>
      <c r="H162" s="12">
        <v>250</v>
      </c>
      <c r="I162" s="15">
        <v>1</v>
      </c>
      <c r="J162">
        <f t="shared" si="2"/>
        <v>3884.16</v>
      </c>
    </row>
    <row r="163" customHeight="1" spans="2:10">
      <c r="B163" s="8">
        <v>45666</v>
      </c>
      <c r="C163" s="9" t="s">
        <v>273</v>
      </c>
      <c r="D163" s="10" t="s">
        <v>117</v>
      </c>
      <c r="E163" s="11">
        <v>47331</v>
      </c>
      <c r="F163" s="10">
        <v>5633.6</v>
      </c>
      <c r="G163" s="10">
        <v>6500</v>
      </c>
      <c r="H163" s="12">
        <v>40</v>
      </c>
      <c r="I163" s="15">
        <v>10</v>
      </c>
      <c r="J163">
        <f t="shared" si="2"/>
        <v>650</v>
      </c>
    </row>
    <row r="164" customHeight="1" spans="2:10">
      <c r="B164" s="8">
        <v>45316</v>
      </c>
      <c r="C164" s="9" t="s">
        <v>274</v>
      </c>
      <c r="D164" s="10" t="s">
        <v>275</v>
      </c>
      <c r="E164" s="11">
        <v>45901</v>
      </c>
      <c r="F164" s="10">
        <v>5217.39</v>
      </c>
      <c r="G164" s="10">
        <v>6000</v>
      </c>
      <c r="H164" s="12">
        <v>32</v>
      </c>
      <c r="I164" s="15">
        <v>10</v>
      </c>
      <c r="J164">
        <f t="shared" si="2"/>
        <v>600</v>
      </c>
    </row>
    <row r="165" customHeight="1" spans="2:10">
      <c r="B165" s="8">
        <v>45876</v>
      </c>
      <c r="C165" s="9" t="s">
        <v>276</v>
      </c>
      <c r="D165" s="10" t="s">
        <v>277</v>
      </c>
      <c r="E165" s="11">
        <v>46508</v>
      </c>
      <c r="F165" s="10">
        <v>82947.2</v>
      </c>
      <c r="G165" s="10">
        <v>111481.04</v>
      </c>
      <c r="H165" s="12">
        <v>5</v>
      </c>
      <c r="I165" s="15">
        <v>10</v>
      </c>
      <c r="J165">
        <f t="shared" si="2"/>
        <v>11148.104</v>
      </c>
    </row>
    <row r="166" customHeight="1" spans="2:10">
      <c r="B166" s="8">
        <v>45622</v>
      </c>
      <c r="C166" s="9" t="s">
        <v>278</v>
      </c>
      <c r="D166" s="10" t="s">
        <v>279</v>
      </c>
      <c r="E166" s="11">
        <v>46997</v>
      </c>
      <c r="F166" s="10">
        <v>12811.68</v>
      </c>
      <c r="G166" s="10">
        <v>15000</v>
      </c>
      <c r="H166" s="12">
        <v>4</v>
      </c>
      <c r="I166" s="15">
        <v>10</v>
      </c>
      <c r="J166">
        <f t="shared" ref="J166:J174" si="3">SUM(G166/I166)</f>
        <v>1500</v>
      </c>
    </row>
    <row r="167" customHeight="1" spans="2:10">
      <c r="B167" s="8">
        <v>45878</v>
      </c>
      <c r="C167" s="9" t="s">
        <v>280</v>
      </c>
      <c r="D167" s="10" t="s">
        <v>244</v>
      </c>
      <c r="E167" s="11">
        <v>46692</v>
      </c>
      <c r="F167" s="10">
        <v>304842</v>
      </c>
      <c r="G167" s="10">
        <v>409707.65</v>
      </c>
      <c r="H167" s="12">
        <v>1</v>
      </c>
      <c r="I167" s="15">
        <v>5</v>
      </c>
      <c r="J167">
        <f t="shared" si="3"/>
        <v>81941.53</v>
      </c>
    </row>
    <row r="168" customHeight="1" spans="2:10">
      <c r="B168" s="8">
        <v>45316</v>
      </c>
      <c r="C168" s="9" t="s">
        <v>281</v>
      </c>
      <c r="D168" s="10" t="s">
        <v>282</v>
      </c>
      <c r="E168" s="11">
        <v>45992</v>
      </c>
      <c r="F168" s="10">
        <v>23478.26</v>
      </c>
      <c r="G168" s="10">
        <v>27000</v>
      </c>
      <c r="H168" s="12">
        <v>7</v>
      </c>
      <c r="I168" s="15">
        <v>10</v>
      </c>
      <c r="J168">
        <f t="shared" si="3"/>
        <v>2700</v>
      </c>
    </row>
    <row r="169" customHeight="1" spans="2:10">
      <c r="B169" s="8">
        <v>45884</v>
      </c>
      <c r="C169" s="9" t="s">
        <v>283</v>
      </c>
      <c r="D169" s="10" t="s">
        <v>284</v>
      </c>
      <c r="E169" s="11">
        <v>46661</v>
      </c>
      <c r="F169" s="10">
        <v>65083.76</v>
      </c>
      <c r="G169" s="10">
        <v>87472.57</v>
      </c>
      <c r="H169" s="12">
        <v>3</v>
      </c>
      <c r="I169" s="15">
        <v>30</v>
      </c>
      <c r="J169">
        <f t="shared" si="3"/>
        <v>2915.75233333333</v>
      </c>
    </row>
    <row r="170" customHeight="1" spans="2:10">
      <c r="B170" s="8">
        <v>45878</v>
      </c>
      <c r="C170" s="9" t="s">
        <v>285</v>
      </c>
      <c r="D170" s="10" t="s">
        <v>286</v>
      </c>
      <c r="E170" s="11">
        <v>47150</v>
      </c>
      <c r="F170" s="10">
        <v>10998</v>
      </c>
      <c r="G170" s="10">
        <v>14781.31</v>
      </c>
      <c r="H170" s="12">
        <v>4</v>
      </c>
      <c r="I170" s="15">
        <v>10</v>
      </c>
      <c r="J170">
        <f t="shared" si="3"/>
        <v>1478.131</v>
      </c>
    </row>
    <row r="171" customHeight="1" spans="2:10">
      <c r="B171" s="8">
        <v>45316</v>
      </c>
      <c r="C171" s="9" t="s">
        <v>287</v>
      </c>
      <c r="D171" s="10"/>
      <c r="E171" s="11">
        <v>45962</v>
      </c>
      <c r="F171" s="10">
        <v>243478.26</v>
      </c>
      <c r="G171" s="10">
        <v>280000</v>
      </c>
      <c r="H171" s="12">
        <v>6.6</v>
      </c>
      <c r="I171" s="15">
        <v>10</v>
      </c>
      <c r="J171">
        <f t="shared" si="3"/>
        <v>28000</v>
      </c>
    </row>
    <row r="172" customHeight="1" spans="2:10">
      <c r="B172" s="8">
        <v>45568</v>
      </c>
      <c r="C172" s="9" t="s">
        <v>288</v>
      </c>
      <c r="D172" s="10" t="s">
        <v>289</v>
      </c>
      <c r="E172" s="11">
        <v>49553</v>
      </c>
      <c r="F172" s="10">
        <v>16000</v>
      </c>
      <c r="G172" s="10">
        <v>19000</v>
      </c>
      <c r="H172" s="12">
        <v>40</v>
      </c>
      <c r="I172" s="15">
        <v>1</v>
      </c>
      <c r="J172">
        <f t="shared" si="3"/>
        <v>19000</v>
      </c>
    </row>
    <row r="173" customHeight="1" spans="2:10">
      <c r="B173" s="8">
        <v>45621</v>
      </c>
      <c r="C173" s="9" t="s">
        <v>288</v>
      </c>
      <c r="D173" s="10" t="s">
        <v>117</v>
      </c>
      <c r="E173" s="11">
        <v>46935</v>
      </c>
      <c r="F173" s="10">
        <v>16000</v>
      </c>
      <c r="G173" s="10">
        <v>19000</v>
      </c>
      <c r="H173" s="12">
        <v>100</v>
      </c>
      <c r="I173" s="15">
        <v>1</v>
      </c>
      <c r="J173">
        <f t="shared" si="3"/>
        <v>19000</v>
      </c>
    </row>
    <row r="174" customHeight="1" spans="2:10">
      <c r="B174" s="8">
        <v>45575</v>
      </c>
      <c r="C174" s="9" t="s">
        <v>290</v>
      </c>
      <c r="D174" s="10" t="s">
        <v>291</v>
      </c>
      <c r="E174" s="11">
        <v>46905</v>
      </c>
      <c r="F174" s="10">
        <v>125350.4</v>
      </c>
      <c r="G174" s="10">
        <v>145000</v>
      </c>
      <c r="H174" s="12">
        <v>2</v>
      </c>
      <c r="I174" s="14">
        <v>30</v>
      </c>
      <c r="J174">
        <f t="shared" si="3"/>
        <v>4833.33333333333</v>
      </c>
    </row>
    <row r="175" customHeight="1" spans="2:10">
      <c r="B175" s="8">
        <v>45881</v>
      </c>
      <c r="C175" s="9" t="s">
        <v>292</v>
      </c>
      <c r="D175" s="10" t="s">
        <v>36</v>
      </c>
      <c r="E175" s="11">
        <v>46539</v>
      </c>
      <c r="F175" s="10">
        <v>25399.33</v>
      </c>
      <c r="G175" s="10">
        <v>34136.7</v>
      </c>
      <c r="H175" s="12">
        <v>60</v>
      </c>
      <c r="I175" s="15">
        <v>1</v>
      </c>
      <c r="J175">
        <f t="shared" ref="J175:J225" si="4">SUM(G175/I175)</f>
        <v>34136.7</v>
      </c>
    </row>
    <row r="176" customHeight="1" spans="2:10">
      <c r="B176" s="8">
        <v>45884</v>
      </c>
      <c r="C176" s="9" t="s">
        <v>293</v>
      </c>
      <c r="D176" s="10" t="s">
        <v>294</v>
      </c>
      <c r="E176" s="11">
        <v>46447</v>
      </c>
      <c r="F176" s="10">
        <v>56130</v>
      </c>
      <c r="G176" s="10">
        <v>75438.72</v>
      </c>
      <c r="H176" s="12">
        <v>4</v>
      </c>
      <c r="I176" s="15">
        <v>1</v>
      </c>
      <c r="J176">
        <f t="shared" si="4"/>
        <v>75438.72</v>
      </c>
    </row>
    <row r="177" customHeight="1" spans="2:10">
      <c r="B177" s="8">
        <v>45332</v>
      </c>
      <c r="C177" s="9" t="s">
        <v>295</v>
      </c>
      <c r="D177" s="10" t="s">
        <v>296</v>
      </c>
      <c r="E177" s="11">
        <v>46327</v>
      </c>
      <c r="F177" s="10">
        <v>10227</v>
      </c>
      <c r="G177" s="10">
        <v>11800</v>
      </c>
      <c r="H177" s="12">
        <v>7</v>
      </c>
      <c r="I177" s="15">
        <v>10</v>
      </c>
      <c r="J177">
        <f t="shared" si="4"/>
        <v>1180</v>
      </c>
    </row>
    <row r="178" customHeight="1" spans="2:10">
      <c r="B178" s="8">
        <v>45316</v>
      </c>
      <c r="C178" s="9" t="s">
        <v>297</v>
      </c>
      <c r="D178" s="10" t="s">
        <v>298</v>
      </c>
      <c r="E178" s="11">
        <v>46235</v>
      </c>
      <c r="F178" s="10">
        <v>8695.65</v>
      </c>
      <c r="G178" s="10">
        <v>10000</v>
      </c>
      <c r="H178" s="12">
        <v>3</v>
      </c>
      <c r="I178" s="15">
        <v>1</v>
      </c>
      <c r="J178">
        <f t="shared" si="4"/>
        <v>10000</v>
      </c>
    </row>
    <row r="179" customHeight="1" spans="2:10">
      <c r="B179" s="8">
        <v>45316</v>
      </c>
      <c r="C179" s="9" t="s">
        <v>299</v>
      </c>
      <c r="D179" s="10" t="s">
        <v>300</v>
      </c>
      <c r="E179" s="11">
        <v>46235</v>
      </c>
      <c r="F179" s="10">
        <v>12347.83</v>
      </c>
      <c r="G179" s="10">
        <v>14200</v>
      </c>
      <c r="H179" s="12">
        <v>5</v>
      </c>
      <c r="I179" s="15">
        <v>1</v>
      </c>
      <c r="J179">
        <f t="shared" si="4"/>
        <v>14200</v>
      </c>
    </row>
    <row r="180" customHeight="1" spans="2:10">
      <c r="B180" s="8">
        <v>45406</v>
      </c>
      <c r="C180" s="9" t="s">
        <v>301</v>
      </c>
      <c r="D180" s="10" t="s">
        <v>302</v>
      </c>
      <c r="E180" s="11">
        <v>46266</v>
      </c>
      <c r="F180" s="10">
        <v>27855.52</v>
      </c>
      <c r="G180" s="10">
        <v>32000</v>
      </c>
      <c r="H180" s="12">
        <v>8</v>
      </c>
      <c r="I180" s="15">
        <v>1</v>
      </c>
      <c r="J180">
        <f t="shared" si="4"/>
        <v>32000</v>
      </c>
    </row>
    <row r="181" customHeight="1" spans="2:10">
      <c r="B181" s="8">
        <v>45686</v>
      </c>
      <c r="C181" s="9" t="s">
        <v>303</v>
      </c>
      <c r="D181" s="10" t="s">
        <v>304</v>
      </c>
      <c r="E181" s="11">
        <v>46508</v>
      </c>
      <c r="F181" s="10">
        <v>138999.99</v>
      </c>
      <c r="G181" s="10">
        <v>160000</v>
      </c>
      <c r="H181" s="12">
        <v>2</v>
      </c>
      <c r="I181" s="15">
        <v>30</v>
      </c>
      <c r="J181">
        <f t="shared" si="4"/>
        <v>5333.33333333333</v>
      </c>
    </row>
    <row r="182" customHeight="1" spans="2:10">
      <c r="B182" s="8">
        <v>45878</v>
      </c>
      <c r="C182" s="9" t="s">
        <v>305</v>
      </c>
      <c r="D182" s="10" t="s">
        <v>306</v>
      </c>
      <c r="E182" s="11">
        <v>46600</v>
      </c>
      <c r="F182" s="10">
        <v>82626</v>
      </c>
      <c r="G182" s="10">
        <v>111049.34</v>
      </c>
      <c r="H182" s="12">
        <v>3</v>
      </c>
      <c r="I182" s="15">
        <v>5</v>
      </c>
      <c r="J182">
        <f t="shared" si="4"/>
        <v>22209.868</v>
      </c>
    </row>
    <row r="183" customHeight="1" spans="2:10">
      <c r="B183" s="8">
        <v>45878</v>
      </c>
      <c r="C183" s="9" t="s">
        <v>307</v>
      </c>
      <c r="D183" s="10" t="s">
        <v>308</v>
      </c>
      <c r="E183" s="11">
        <v>47300</v>
      </c>
      <c r="F183" s="10">
        <v>671724</v>
      </c>
      <c r="G183" s="10">
        <v>902797.06</v>
      </c>
      <c r="H183" s="12">
        <v>1</v>
      </c>
      <c r="I183" s="15">
        <v>50</v>
      </c>
      <c r="J183">
        <f t="shared" si="4"/>
        <v>18055.9412</v>
      </c>
    </row>
    <row r="184" customHeight="1" spans="2:10">
      <c r="B184" s="8">
        <v>45686</v>
      </c>
      <c r="C184" s="9" t="s">
        <v>309</v>
      </c>
      <c r="D184" s="10" t="s">
        <v>310</v>
      </c>
      <c r="E184" s="11">
        <v>46235</v>
      </c>
      <c r="F184" s="10">
        <v>89824</v>
      </c>
      <c r="G184" s="10">
        <v>95000</v>
      </c>
      <c r="H184" s="12">
        <v>6</v>
      </c>
      <c r="I184" s="15">
        <v>1</v>
      </c>
      <c r="J184">
        <f t="shared" si="4"/>
        <v>95000</v>
      </c>
    </row>
    <row r="185" customHeight="1" spans="2:10">
      <c r="B185" s="8">
        <v>45876</v>
      </c>
      <c r="C185" s="9" t="s">
        <v>311</v>
      </c>
      <c r="D185" s="10" t="s">
        <v>312</v>
      </c>
      <c r="E185" s="11">
        <v>46478</v>
      </c>
      <c r="F185" s="10">
        <v>79665.6</v>
      </c>
      <c r="G185" s="10">
        <v>107070.57</v>
      </c>
      <c r="H185" s="12">
        <v>13</v>
      </c>
      <c r="I185" s="15">
        <v>5</v>
      </c>
      <c r="J185">
        <f t="shared" si="4"/>
        <v>21414.114</v>
      </c>
    </row>
    <row r="186" customHeight="1" spans="2:10">
      <c r="B186" s="8">
        <v>45316</v>
      </c>
      <c r="C186" s="9" t="s">
        <v>313</v>
      </c>
      <c r="D186" s="10" t="s">
        <v>314</v>
      </c>
      <c r="E186" s="11">
        <v>46023</v>
      </c>
      <c r="F186" s="10">
        <v>83478.26</v>
      </c>
      <c r="G186" s="10">
        <v>96000</v>
      </c>
      <c r="H186" s="12">
        <v>2</v>
      </c>
      <c r="I186" s="15">
        <v>50</v>
      </c>
      <c r="J186">
        <f t="shared" si="4"/>
        <v>1920</v>
      </c>
    </row>
    <row r="187" customHeight="1" spans="2:10">
      <c r="B187" s="8">
        <v>45884</v>
      </c>
      <c r="C187" s="9" t="s">
        <v>315</v>
      </c>
      <c r="D187" s="10" t="s">
        <v>316</v>
      </c>
      <c r="E187" s="11">
        <v>47604</v>
      </c>
      <c r="F187" s="10">
        <v>1185.8</v>
      </c>
      <c r="G187" s="10">
        <v>1593.72</v>
      </c>
      <c r="H187" s="12">
        <v>920</v>
      </c>
      <c r="I187" s="15">
        <v>1</v>
      </c>
      <c r="J187">
        <f t="shared" si="4"/>
        <v>1593.72</v>
      </c>
    </row>
    <row r="188" customHeight="1" spans="2:10">
      <c r="B188" s="8">
        <v>45623</v>
      </c>
      <c r="C188" s="9" t="s">
        <v>317</v>
      </c>
      <c r="D188" s="10" t="s">
        <v>117</v>
      </c>
      <c r="E188" s="11">
        <v>46670</v>
      </c>
      <c r="F188" s="10">
        <v>2800</v>
      </c>
      <c r="G188" s="10">
        <v>3200</v>
      </c>
      <c r="H188" s="12">
        <v>80</v>
      </c>
      <c r="I188" s="15">
        <v>1</v>
      </c>
      <c r="J188">
        <f t="shared" si="4"/>
        <v>3200</v>
      </c>
    </row>
    <row r="189" customHeight="1" spans="2:10">
      <c r="B189" s="8">
        <v>45856</v>
      </c>
      <c r="C189" s="9" t="s">
        <v>318</v>
      </c>
      <c r="D189" s="10" t="s">
        <v>22</v>
      </c>
      <c r="E189" s="11">
        <v>47818</v>
      </c>
      <c r="F189" s="10">
        <v>3700</v>
      </c>
      <c r="G189" s="10">
        <v>4972.8</v>
      </c>
      <c r="H189" s="12">
        <v>20</v>
      </c>
      <c r="I189" s="15">
        <v>1</v>
      </c>
      <c r="J189">
        <f t="shared" si="4"/>
        <v>4972.8</v>
      </c>
    </row>
    <row r="190" customHeight="1" spans="2:10">
      <c r="B190" s="8">
        <v>45320</v>
      </c>
      <c r="C190" s="9" t="s">
        <v>319</v>
      </c>
      <c r="D190" s="10" t="s">
        <v>320</v>
      </c>
      <c r="E190" s="11">
        <v>45839</v>
      </c>
      <c r="F190" s="10">
        <v>88108</v>
      </c>
      <c r="G190" s="10">
        <v>101300</v>
      </c>
      <c r="H190" s="12">
        <v>1</v>
      </c>
      <c r="I190" s="15">
        <v>100</v>
      </c>
      <c r="J190">
        <f t="shared" si="4"/>
        <v>1013</v>
      </c>
    </row>
    <row r="191" customHeight="1" spans="2:10">
      <c r="B191" s="8">
        <v>45878</v>
      </c>
      <c r="C191" s="9" t="s">
        <v>321</v>
      </c>
      <c r="D191" s="10" t="s">
        <v>322</v>
      </c>
      <c r="E191" s="11">
        <v>46692</v>
      </c>
      <c r="F191" s="10">
        <v>57058</v>
      </c>
      <c r="G191" s="10">
        <v>76685.95</v>
      </c>
      <c r="H191" s="12">
        <v>5</v>
      </c>
      <c r="I191" s="15">
        <v>5</v>
      </c>
      <c r="J191">
        <f t="shared" si="4"/>
        <v>15337.19</v>
      </c>
    </row>
    <row r="192" customHeight="1" spans="2:10">
      <c r="B192" s="8">
        <v>45666</v>
      </c>
      <c r="C192" s="9" t="s">
        <v>323</v>
      </c>
      <c r="D192" s="10" t="s">
        <v>324</v>
      </c>
      <c r="E192" s="11">
        <v>45870</v>
      </c>
      <c r="F192" s="10">
        <v>74473.28</v>
      </c>
      <c r="G192" s="10">
        <v>85000</v>
      </c>
      <c r="H192" s="12">
        <v>5</v>
      </c>
      <c r="I192" s="15">
        <v>30</v>
      </c>
      <c r="J192">
        <f t="shared" si="4"/>
        <v>2833.33333333333</v>
      </c>
    </row>
    <row r="193" customHeight="1" spans="2:10">
      <c r="B193" s="8">
        <v>45890</v>
      </c>
      <c r="C193" s="9" t="s">
        <v>325</v>
      </c>
      <c r="D193" s="10" t="s">
        <v>123</v>
      </c>
      <c r="E193" s="11">
        <v>72717</v>
      </c>
      <c r="F193" s="10">
        <v>1350.32</v>
      </c>
      <c r="G193" s="10">
        <v>1700</v>
      </c>
      <c r="H193" s="12">
        <v>112</v>
      </c>
      <c r="I193" s="15">
        <v>1</v>
      </c>
      <c r="J193">
        <f t="shared" si="4"/>
        <v>1700</v>
      </c>
    </row>
    <row r="194" customHeight="1" spans="2:10">
      <c r="B194" s="8">
        <v>45836</v>
      </c>
      <c r="C194" s="9" t="s">
        <v>326</v>
      </c>
      <c r="D194" s="10" t="s">
        <v>327</v>
      </c>
      <c r="E194" s="11">
        <v>73050</v>
      </c>
      <c r="F194" s="10">
        <v>47432</v>
      </c>
      <c r="G194" s="10">
        <v>63748.61</v>
      </c>
      <c r="H194" s="12">
        <v>4</v>
      </c>
      <c r="I194" s="15">
        <v>1</v>
      </c>
      <c r="J194">
        <f t="shared" si="4"/>
        <v>63748.61</v>
      </c>
    </row>
    <row r="195" customHeight="1" spans="2:10">
      <c r="B195" s="8">
        <v>45623</v>
      </c>
      <c r="C195" s="9" t="s">
        <v>328</v>
      </c>
      <c r="D195" s="10" t="s">
        <v>117</v>
      </c>
      <c r="E195" s="11">
        <v>46661</v>
      </c>
      <c r="F195" s="10">
        <v>29700</v>
      </c>
      <c r="G195" s="10">
        <v>35000</v>
      </c>
      <c r="H195" s="12">
        <v>3</v>
      </c>
      <c r="I195" s="15">
        <v>10</v>
      </c>
      <c r="J195">
        <f t="shared" si="4"/>
        <v>3500</v>
      </c>
    </row>
    <row r="196" customHeight="1" spans="2:10">
      <c r="B196" s="8">
        <v>45838</v>
      </c>
      <c r="C196" s="9" t="s">
        <v>329</v>
      </c>
      <c r="D196" s="10" t="s">
        <v>71</v>
      </c>
      <c r="E196" s="11">
        <v>47423</v>
      </c>
      <c r="F196" s="10">
        <v>40671.68</v>
      </c>
      <c r="G196" s="10">
        <v>54662.74</v>
      </c>
      <c r="H196" s="12">
        <v>2</v>
      </c>
      <c r="I196" s="15">
        <v>5</v>
      </c>
      <c r="J196">
        <f t="shared" si="4"/>
        <v>10932.548</v>
      </c>
    </row>
    <row r="197" customHeight="1" spans="2:10">
      <c r="B197" s="8">
        <v>45878</v>
      </c>
      <c r="C197" s="9" t="s">
        <v>330</v>
      </c>
      <c r="D197" s="10" t="s">
        <v>331</v>
      </c>
      <c r="E197" s="11">
        <v>46661</v>
      </c>
      <c r="F197" s="10">
        <v>96256</v>
      </c>
      <c r="G197" s="10">
        <v>129368.06</v>
      </c>
      <c r="H197" s="12">
        <v>5</v>
      </c>
      <c r="I197" s="15">
        <v>30</v>
      </c>
      <c r="J197">
        <f t="shared" si="4"/>
        <v>4312.26866666667</v>
      </c>
    </row>
    <row r="198" customHeight="1" spans="2:10">
      <c r="B198" s="8">
        <v>45884</v>
      </c>
      <c r="C198" s="9" t="s">
        <v>332</v>
      </c>
      <c r="D198" s="10" t="s">
        <v>62</v>
      </c>
      <c r="E198" s="11">
        <v>46388</v>
      </c>
      <c r="F198" s="10">
        <v>62857.2</v>
      </c>
      <c r="G198" s="10">
        <v>84480.08</v>
      </c>
      <c r="H198" s="12">
        <v>2</v>
      </c>
      <c r="I198" s="15">
        <v>60</v>
      </c>
      <c r="J198">
        <f t="shared" si="4"/>
        <v>1408.00133333333</v>
      </c>
    </row>
    <row r="199" customHeight="1" spans="2:10">
      <c r="B199" s="8">
        <v>45839</v>
      </c>
      <c r="C199" s="9" t="s">
        <v>333</v>
      </c>
      <c r="D199" s="10" t="s">
        <v>334</v>
      </c>
      <c r="E199" s="11">
        <v>46905</v>
      </c>
      <c r="F199" s="10">
        <v>25631.2</v>
      </c>
      <c r="G199" s="10">
        <v>34448.33</v>
      </c>
      <c r="H199" s="12">
        <v>680</v>
      </c>
      <c r="I199" s="15">
        <v>1</v>
      </c>
      <c r="J199">
        <f t="shared" si="4"/>
        <v>34448.33</v>
      </c>
    </row>
    <row r="200" customHeight="1" spans="2:10">
      <c r="B200" s="8">
        <v>45622</v>
      </c>
      <c r="C200" s="9" t="s">
        <v>335</v>
      </c>
      <c r="D200" s="10" t="s">
        <v>336</v>
      </c>
      <c r="E200" s="11">
        <v>46113</v>
      </c>
      <c r="F200" s="10">
        <v>146939.52</v>
      </c>
      <c r="G200" s="10">
        <v>169000</v>
      </c>
      <c r="H200" s="12">
        <v>3</v>
      </c>
      <c r="I200" s="15">
        <v>1</v>
      </c>
      <c r="J200">
        <f t="shared" si="4"/>
        <v>169000</v>
      </c>
    </row>
    <row r="201" customHeight="1" spans="2:10">
      <c r="B201" s="8">
        <v>45878</v>
      </c>
      <c r="C201" s="9" t="s">
        <v>337</v>
      </c>
      <c r="D201" s="10" t="s">
        <v>338</v>
      </c>
      <c r="E201" s="11">
        <v>46753</v>
      </c>
      <c r="F201" s="10">
        <v>602634</v>
      </c>
      <c r="G201" s="10">
        <v>809940.1</v>
      </c>
      <c r="H201" s="12">
        <v>1</v>
      </c>
      <c r="I201" s="15">
        <v>10</v>
      </c>
      <c r="J201">
        <f t="shared" si="4"/>
        <v>80994.01</v>
      </c>
    </row>
    <row r="202" customHeight="1" spans="2:10">
      <c r="B202" s="8">
        <v>45485</v>
      </c>
      <c r="C202" s="9" t="s">
        <v>339</v>
      </c>
      <c r="D202" s="10" t="s">
        <v>340</v>
      </c>
      <c r="E202" s="11">
        <v>46296</v>
      </c>
      <c r="F202" s="10">
        <v>95200</v>
      </c>
      <c r="G202" s="10">
        <v>95200</v>
      </c>
      <c r="H202" s="12">
        <v>1</v>
      </c>
      <c r="I202" s="15">
        <v>50</v>
      </c>
      <c r="J202">
        <f t="shared" si="4"/>
        <v>1904</v>
      </c>
    </row>
    <row r="203" customHeight="1" spans="2:10">
      <c r="B203" s="8">
        <v>45805</v>
      </c>
      <c r="C203" s="9" t="s">
        <v>341</v>
      </c>
      <c r="D203" s="10" t="s">
        <v>342</v>
      </c>
      <c r="E203" s="11">
        <v>46235</v>
      </c>
      <c r="F203" s="10">
        <v>60256</v>
      </c>
      <c r="G203" s="10">
        <v>80984.06</v>
      </c>
      <c r="H203" s="12">
        <v>15</v>
      </c>
      <c r="I203" s="15">
        <v>10</v>
      </c>
      <c r="J203">
        <f t="shared" si="4"/>
        <v>8098.406</v>
      </c>
    </row>
    <row r="204" customHeight="1" spans="2:10">
      <c r="B204" s="8">
        <v>45838</v>
      </c>
      <c r="C204" s="9" t="s">
        <v>343</v>
      </c>
      <c r="D204" s="10" t="s">
        <v>344</v>
      </c>
      <c r="E204" s="11">
        <v>46478</v>
      </c>
      <c r="F204" s="10">
        <v>67127.2</v>
      </c>
      <c r="G204" s="10">
        <v>90218.96</v>
      </c>
      <c r="H204" s="12">
        <v>9</v>
      </c>
      <c r="I204" s="15">
        <v>5</v>
      </c>
      <c r="J204">
        <f t="shared" si="4"/>
        <v>18043.792</v>
      </c>
    </row>
    <row r="205" customHeight="1" spans="2:10">
      <c r="B205" s="8">
        <v>45534</v>
      </c>
      <c r="C205" s="9" t="s">
        <v>345</v>
      </c>
      <c r="D205" s="10" t="s">
        <v>346</v>
      </c>
      <c r="E205" s="11">
        <v>46023</v>
      </c>
      <c r="F205" s="10">
        <v>165831.68</v>
      </c>
      <c r="G205" s="10">
        <v>190000</v>
      </c>
      <c r="H205" s="12">
        <v>4</v>
      </c>
      <c r="I205" s="15">
        <v>60</v>
      </c>
      <c r="J205">
        <f t="shared" si="4"/>
        <v>3166.66666666667</v>
      </c>
    </row>
    <row r="206" customHeight="1" spans="2:10">
      <c r="B206" s="8">
        <v>45856</v>
      </c>
      <c r="C206" s="9" t="s">
        <v>347</v>
      </c>
      <c r="D206" s="10" t="s">
        <v>22</v>
      </c>
      <c r="E206" s="11">
        <v>47818</v>
      </c>
      <c r="F206" s="10">
        <v>13843</v>
      </c>
      <c r="G206" s="10">
        <v>18604.99</v>
      </c>
      <c r="H206" s="12">
        <v>50</v>
      </c>
      <c r="I206" s="15">
        <v>1</v>
      </c>
      <c r="J206">
        <f t="shared" si="4"/>
        <v>18604.99</v>
      </c>
    </row>
    <row r="207" customHeight="1" spans="2:10">
      <c r="B207" s="8">
        <v>45856</v>
      </c>
      <c r="C207" s="9" t="s">
        <v>348</v>
      </c>
      <c r="D207" s="10" t="s">
        <v>22</v>
      </c>
      <c r="E207" s="11">
        <v>47818</v>
      </c>
      <c r="F207" s="10">
        <v>13843</v>
      </c>
      <c r="G207" s="10">
        <v>18604.99</v>
      </c>
      <c r="H207" s="12">
        <v>50</v>
      </c>
      <c r="I207" s="15">
        <v>1</v>
      </c>
      <c r="J207">
        <f t="shared" si="4"/>
        <v>18604.99</v>
      </c>
    </row>
    <row r="208" customHeight="1" spans="2:10">
      <c r="B208" s="8">
        <v>45878</v>
      </c>
      <c r="C208" s="9" t="s">
        <v>349</v>
      </c>
      <c r="D208" s="10" t="s">
        <v>350</v>
      </c>
      <c r="E208" s="11">
        <v>46539</v>
      </c>
      <c r="F208" s="10">
        <v>83096</v>
      </c>
      <c r="G208" s="10">
        <v>111681.02</v>
      </c>
      <c r="H208" s="12">
        <v>5</v>
      </c>
      <c r="I208" s="15">
        <v>40</v>
      </c>
      <c r="J208">
        <f t="shared" si="4"/>
        <v>2792.0255</v>
      </c>
    </row>
    <row r="209" customHeight="1" spans="2:10">
      <c r="B209" s="8">
        <v>45622</v>
      </c>
      <c r="C209" s="9" t="s">
        <v>351</v>
      </c>
      <c r="D209" s="10" t="s">
        <v>352</v>
      </c>
      <c r="E209" s="11">
        <v>46296</v>
      </c>
      <c r="F209" s="10">
        <v>40430.88</v>
      </c>
      <c r="G209" s="10">
        <v>47000</v>
      </c>
      <c r="H209" s="12">
        <v>3</v>
      </c>
      <c r="I209" s="15">
        <v>1</v>
      </c>
      <c r="J209">
        <f t="shared" si="4"/>
        <v>47000</v>
      </c>
    </row>
    <row r="210" customHeight="1" spans="2:10">
      <c r="B210" s="8">
        <v>45856</v>
      </c>
      <c r="C210" s="9" t="s">
        <v>353</v>
      </c>
      <c r="D210" s="10" t="s">
        <v>22</v>
      </c>
      <c r="E210" s="11">
        <v>47515</v>
      </c>
      <c r="F210" s="10">
        <v>15000</v>
      </c>
      <c r="G210" s="10">
        <v>20160</v>
      </c>
      <c r="H210" s="12">
        <v>2</v>
      </c>
      <c r="I210" s="15">
        <v>1</v>
      </c>
      <c r="J210">
        <f t="shared" si="4"/>
        <v>20160</v>
      </c>
    </row>
    <row r="211" customHeight="1" spans="2:10">
      <c r="B211" s="8">
        <v>45890</v>
      </c>
      <c r="C211" s="9" t="s">
        <v>354</v>
      </c>
      <c r="D211" s="10" t="s">
        <v>81</v>
      </c>
      <c r="E211" s="11">
        <v>2667276</v>
      </c>
      <c r="F211" s="10">
        <v>479991.21</v>
      </c>
      <c r="G211" s="10">
        <v>645108.18</v>
      </c>
      <c r="H211" s="12">
        <v>5</v>
      </c>
      <c r="I211" s="15">
        <v>10</v>
      </c>
      <c r="J211">
        <f t="shared" si="4"/>
        <v>64510.818</v>
      </c>
    </row>
    <row r="212" customHeight="1" spans="2:10">
      <c r="B212" s="8">
        <v>45316</v>
      </c>
      <c r="C212" s="9" t="s">
        <v>355</v>
      </c>
      <c r="D212" s="10" t="s">
        <v>356</v>
      </c>
      <c r="E212" s="11">
        <v>46143</v>
      </c>
      <c r="F212" s="10">
        <v>6956.52</v>
      </c>
      <c r="G212" s="10">
        <v>8000</v>
      </c>
      <c r="H212" s="12">
        <v>2</v>
      </c>
      <c r="I212" s="15">
        <v>50</v>
      </c>
      <c r="J212">
        <f t="shared" si="4"/>
        <v>160</v>
      </c>
    </row>
    <row r="213" customHeight="1" spans="2:10">
      <c r="B213" s="8">
        <v>45754</v>
      </c>
      <c r="C213" s="9" t="s">
        <v>357</v>
      </c>
      <c r="D213" s="10" t="s">
        <v>358</v>
      </c>
      <c r="E213" s="11">
        <v>47423</v>
      </c>
      <c r="F213" s="10">
        <v>3652.32</v>
      </c>
      <c r="G213" s="10">
        <v>4908.71</v>
      </c>
      <c r="H213" s="12">
        <v>16</v>
      </c>
      <c r="I213" s="15">
        <v>10</v>
      </c>
      <c r="J213">
        <f t="shared" si="4"/>
        <v>490.871</v>
      </c>
    </row>
    <row r="214" customHeight="1" spans="2:10">
      <c r="B214" s="8">
        <v>45796</v>
      </c>
      <c r="C214" s="9" t="s">
        <v>359</v>
      </c>
      <c r="D214" s="10" t="s">
        <v>360</v>
      </c>
      <c r="E214" s="11">
        <v>46235</v>
      </c>
      <c r="F214" s="10">
        <v>10207.68</v>
      </c>
      <c r="G214" s="10">
        <v>13719.13</v>
      </c>
      <c r="H214" s="12">
        <v>4</v>
      </c>
      <c r="I214" s="15">
        <v>10</v>
      </c>
      <c r="J214">
        <f t="shared" si="4"/>
        <v>1371.913</v>
      </c>
    </row>
    <row r="215" customHeight="1" spans="2:10">
      <c r="B215" s="8">
        <v>45320</v>
      </c>
      <c r="C215" s="9" t="s">
        <v>361</v>
      </c>
      <c r="D215" s="10" t="s">
        <v>362</v>
      </c>
      <c r="E215" s="11">
        <v>46204</v>
      </c>
      <c r="F215" s="10">
        <v>32430</v>
      </c>
      <c r="G215" s="10">
        <v>37300</v>
      </c>
      <c r="H215" s="12">
        <v>2</v>
      </c>
      <c r="I215" s="15">
        <v>1</v>
      </c>
      <c r="J215">
        <f t="shared" si="4"/>
        <v>37300</v>
      </c>
    </row>
    <row r="216" customHeight="1" spans="2:10">
      <c r="B216" s="8">
        <v>45621</v>
      </c>
      <c r="C216" s="9" t="s">
        <v>363</v>
      </c>
      <c r="D216" s="10" t="s">
        <v>14</v>
      </c>
      <c r="E216" s="11">
        <v>46935</v>
      </c>
      <c r="F216" s="10">
        <v>14000</v>
      </c>
      <c r="G216" s="10">
        <v>16000</v>
      </c>
      <c r="H216" s="12">
        <v>13</v>
      </c>
      <c r="I216" s="15">
        <v>1</v>
      </c>
      <c r="J216">
        <f t="shared" si="4"/>
        <v>16000</v>
      </c>
    </row>
    <row r="217" customHeight="1" spans="2:10">
      <c r="B217" s="8">
        <v>45622</v>
      </c>
      <c r="C217" s="9" t="s">
        <v>364</v>
      </c>
      <c r="D217" s="10" t="s">
        <v>365</v>
      </c>
      <c r="E217" s="11">
        <v>46447</v>
      </c>
      <c r="F217" s="10">
        <v>5936</v>
      </c>
      <c r="G217" s="10">
        <v>6800</v>
      </c>
      <c r="H217" s="12">
        <v>40</v>
      </c>
      <c r="I217" s="15">
        <v>10</v>
      </c>
      <c r="J217">
        <f t="shared" si="4"/>
        <v>680</v>
      </c>
    </row>
    <row r="218" customHeight="1" spans="2:10">
      <c r="B218" s="8">
        <v>45875</v>
      </c>
      <c r="C218" s="9" t="s">
        <v>366</v>
      </c>
      <c r="D218" s="10" t="s">
        <v>367</v>
      </c>
      <c r="E218" s="11">
        <v>47423</v>
      </c>
      <c r="F218" s="10">
        <v>293526.77</v>
      </c>
      <c r="G218" s="10">
        <v>394499.97</v>
      </c>
      <c r="H218" s="12">
        <v>4</v>
      </c>
      <c r="I218" s="15">
        <v>5</v>
      </c>
      <c r="J218">
        <f t="shared" si="4"/>
        <v>78899.994</v>
      </c>
    </row>
    <row r="219" customHeight="1" spans="2:10">
      <c r="B219" s="8">
        <v>45797</v>
      </c>
      <c r="C219" s="9" t="s">
        <v>368</v>
      </c>
      <c r="D219" s="10" t="s">
        <v>369</v>
      </c>
      <c r="E219" s="11">
        <v>47239</v>
      </c>
      <c r="F219" s="10">
        <v>220400.32</v>
      </c>
      <c r="G219" s="10">
        <v>296218.03</v>
      </c>
      <c r="H219" s="12">
        <v>5</v>
      </c>
      <c r="I219" s="15">
        <v>5</v>
      </c>
      <c r="J219">
        <f t="shared" si="4"/>
        <v>59243.606</v>
      </c>
    </row>
    <row r="220" customHeight="1" spans="2:10">
      <c r="B220" s="8">
        <v>45878</v>
      </c>
      <c r="C220" s="9" t="s">
        <v>370</v>
      </c>
      <c r="D220" s="10" t="s">
        <v>371</v>
      </c>
      <c r="E220" s="11">
        <v>47239</v>
      </c>
      <c r="F220" s="10">
        <v>5376</v>
      </c>
      <c r="G220" s="10">
        <v>7225.34</v>
      </c>
      <c r="H220" s="12">
        <v>150</v>
      </c>
      <c r="I220" s="15">
        <v>1</v>
      </c>
      <c r="J220">
        <f t="shared" si="4"/>
        <v>7225.34</v>
      </c>
    </row>
    <row r="221" customHeight="1" spans="2:10">
      <c r="B221" s="8">
        <v>45714</v>
      </c>
      <c r="C221" s="9" t="s">
        <v>372</v>
      </c>
      <c r="D221" s="10" t="s">
        <v>373</v>
      </c>
      <c r="E221" s="11">
        <v>47362</v>
      </c>
      <c r="F221" s="10">
        <v>81915.68</v>
      </c>
      <c r="G221" s="10">
        <v>105507.39</v>
      </c>
      <c r="H221" s="12">
        <v>3</v>
      </c>
      <c r="I221" s="15">
        <v>5</v>
      </c>
      <c r="J221">
        <f t="shared" si="4"/>
        <v>21101.478</v>
      </c>
    </row>
    <row r="222" customHeight="1" spans="2:10">
      <c r="B222" s="8">
        <v>45696</v>
      </c>
      <c r="C222" s="9" t="s">
        <v>374</v>
      </c>
      <c r="D222" s="10" t="s">
        <v>375</v>
      </c>
      <c r="E222" s="11">
        <v>46143</v>
      </c>
      <c r="F222" s="10">
        <v>263045.44</v>
      </c>
      <c r="G222" s="10">
        <v>295000</v>
      </c>
      <c r="H222" s="12">
        <v>2</v>
      </c>
      <c r="I222" s="15">
        <v>10</v>
      </c>
      <c r="J222">
        <f t="shared" si="4"/>
        <v>29500</v>
      </c>
    </row>
    <row r="223" customHeight="1" spans="2:10">
      <c r="B223" s="8">
        <v>45316</v>
      </c>
      <c r="C223" s="9" t="s">
        <v>376</v>
      </c>
      <c r="D223" s="10" t="s">
        <v>377</v>
      </c>
      <c r="E223" s="11">
        <v>46631</v>
      </c>
      <c r="F223" s="10">
        <v>4173.91</v>
      </c>
      <c r="G223" s="10">
        <v>4800</v>
      </c>
      <c r="H223" s="12">
        <v>3</v>
      </c>
      <c r="I223" s="15">
        <v>20</v>
      </c>
      <c r="J223">
        <f t="shared" si="4"/>
        <v>240</v>
      </c>
    </row>
    <row r="224" customHeight="1" spans="2:10">
      <c r="B224" s="8">
        <v>45856</v>
      </c>
      <c r="C224" s="9" t="s">
        <v>378</v>
      </c>
      <c r="D224" s="10" t="s">
        <v>22</v>
      </c>
      <c r="E224" s="11">
        <v>47818</v>
      </c>
      <c r="F224" s="10">
        <v>650</v>
      </c>
      <c r="G224" s="10">
        <v>873.6</v>
      </c>
      <c r="H224" s="12">
        <v>900</v>
      </c>
      <c r="I224" s="15">
        <v>1</v>
      </c>
      <c r="J224">
        <f t="shared" si="4"/>
        <v>873.6</v>
      </c>
    </row>
    <row r="225" customHeight="1" spans="2:10">
      <c r="B225" s="8">
        <v>45677</v>
      </c>
      <c r="C225" s="9" t="s">
        <v>379</v>
      </c>
      <c r="D225" s="10" t="s">
        <v>117</v>
      </c>
      <c r="E225" s="11">
        <v>46600</v>
      </c>
      <c r="F225" s="10">
        <v>60000</v>
      </c>
      <c r="G225" s="10">
        <v>69000</v>
      </c>
      <c r="H225" s="12">
        <v>1</v>
      </c>
      <c r="I225" s="15">
        <v>1</v>
      </c>
      <c r="J225">
        <f t="shared" si="4"/>
        <v>69000</v>
      </c>
    </row>
    <row r="226" customHeight="1" spans="2:10">
      <c r="B226" s="8">
        <v>45884</v>
      </c>
      <c r="C226" s="9" t="s">
        <v>380</v>
      </c>
      <c r="D226" s="10" t="s">
        <v>381</v>
      </c>
      <c r="E226" s="11">
        <v>46905</v>
      </c>
      <c r="F226" s="10">
        <v>357.7</v>
      </c>
      <c r="G226" s="10">
        <v>480.75</v>
      </c>
      <c r="H226" s="12">
        <v>700</v>
      </c>
      <c r="I226" s="15">
        <v>1</v>
      </c>
      <c r="J226">
        <f t="shared" ref="J226:J232" si="5">SUM(G226/I226)</f>
        <v>480.75</v>
      </c>
    </row>
    <row r="227" customHeight="1" spans="2:10">
      <c r="B227" s="8">
        <v>45884</v>
      </c>
      <c r="C227" s="9" t="s">
        <v>382</v>
      </c>
      <c r="D227" s="10" t="s">
        <v>12</v>
      </c>
      <c r="E227" s="11">
        <v>46844</v>
      </c>
      <c r="F227" s="10">
        <v>374.36</v>
      </c>
      <c r="G227" s="10">
        <v>503.14</v>
      </c>
      <c r="H227" s="12">
        <v>900</v>
      </c>
      <c r="I227" s="15">
        <v>1</v>
      </c>
      <c r="J227">
        <f t="shared" si="5"/>
        <v>503.14</v>
      </c>
    </row>
    <row r="228" customHeight="1" spans="2:10">
      <c r="B228" s="8">
        <v>45856</v>
      </c>
      <c r="C228" s="9" t="s">
        <v>383</v>
      </c>
      <c r="D228" s="10" t="s">
        <v>22</v>
      </c>
      <c r="E228" s="11">
        <v>47818</v>
      </c>
      <c r="F228" s="10">
        <v>375000</v>
      </c>
      <c r="G228" s="10">
        <v>504000</v>
      </c>
      <c r="H228" s="12">
        <v>6</v>
      </c>
      <c r="I228" s="15">
        <v>1</v>
      </c>
      <c r="J228">
        <f t="shared" si="5"/>
        <v>504000</v>
      </c>
    </row>
    <row r="229" customHeight="1" spans="2:10">
      <c r="B229" s="8">
        <v>45316</v>
      </c>
      <c r="C229" s="9" t="s">
        <v>384</v>
      </c>
      <c r="D229" s="10" t="s">
        <v>385</v>
      </c>
      <c r="E229" s="11">
        <v>46204</v>
      </c>
      <c r="F229" s="10">
        <v>15652.17</v>
      </c>
      <c r="G229" s="10">
        <v>18000</v>
      </c>
      <c r="H229" s="12">
        <v>5</v>
      </c>
      <c r="I229" s="15">
        <v>50</v>
      </c>
      <c r="J229">
        <f t="shared" si="5"/>
        <v>360</v>
      </c>
    </row>
    <row r="230" customHeight="1" spans="2:10">
      <c r="B230" s="8">
        <v>45776</v>
      </c>
      <c r="C230" s="9" t="s">
        <v>386</v>
      </c>
      <c r="D230" s="10" t="s">
        <v>387</v>
      </c>
      <c r="E230" s="11">
        <v>46296</v>
      </c>
      <c r="F230" s="10">
        <v>174884.64</v>
      </c>
      <c r="G230" s="10">
        <v>235044.96</v>
      </c>
      <c r="H230" s="12">
        <v>1</v>
      </c>
      <c r="I230" s="15">
        <v>5</v>
      </c>
      <c r="J230">
        <f t="shared" si="5"/>
        <v>47008.992</v>
      </c>
    </row>
    <row r="231" customHeight="1" spans="2:10">
      <c r="B231" s="8">
        <v>45500</v>
      </c>
      <c r="C231" s="9" t="s">
        <v>388</v>
      </c>
      <c r="D231" s="10" t="s">
        <v>112</v>
      </c>
      <c r="E231" s="11">
        <v>46235</v>
      </c>
      <c r="F231" s="10">
        <v>39298.56</v>
      </c>
      <c r="G231" s="10">
        <v>45200</v>
      </c>
      <c r="H231" s="12">
        <v>4</v>
      </c>
      <c r="I231" s="15">
        <v>100</v>
      </c>
      <c r="J231">
        <f t="shared" si="5"/>
        <v>452</v>
      </c>
    </row>
    <row r="232" customHeight="1" spans="2:10">
      <c r="B232" s="8">
        <v>45854</v>
      </c>
      <c r="C232" s="9" t="s">
        <v>389</v>
      </c>
      <c r="D232" s="10" t="s">
        <v>390</v>
      </c>
      <c r="E232" s="11">
        <v>46813</v>
      </c>
      <c r="F232" s="10">
        <v>13296.64</v>
      </c>
      <c r="G232" s="10">
        <v>17870.69</v>
      </c>
      <c r="H232" s="12">
        <v>12</v>
      </c>
      <c r="I232" s="15">
        <v>10</v>
      </c>
      <c r="J232">
        <f t="shared" si="5"/>
        <v>1787.069</v>
      </c>
    </row>
    <row r="233" customHeight="1" spans="2:8">
      <c r="B233" s="16"/>
      <c r="C233" s="17"/>
      <c r="D233" s="17"/>
      <c r="E233" s="16"/>
      <c r="F233" s="18"/>
      <c r="G233" s="18"/>
      <c r="H233" s="19">
        <f>SUM($H$7:$H$232)</f>
        <v>25133.286667</v>
      </c>
    </row>
  </sheetData>
  <autoFilter ref="B6:H233">
    <extLst/>
  </autoFilter>
  <mergeCells count="2">
    <mergeCell ref="B2:H2"/>
    <mergeCell ref="B3:H3"/>
  </mergeCells>
  <pageMargins left="0.75" right="0.75" top="1" bottom="1" header="0.5" footer="0.5"/>
  <pageSetup paperSize="9" orientation="portrait" horizontalDpi="2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2"/>
  <dimension ref="A1"/>
  <sheetViews>
    <sheetView workbookViewId="0">
      <selection activeCell="A1" sqref="A1"/>
    </sheetView>
  </sheetViews>
  <sheetFormatPr defaultColWidth="9" defaultRowHeight="12.7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3"/>
  <dimension ref="A1"/>
  <sheetViews>
    <sheetView workbookViewId="0">
      <selection activeCell="A1" sqref="A1"/>
    </sheetView>
  </sheetViews>
  <sheetFormatPr defaultColWidth="9" defaultRowHeight="12.75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B5"/>
  <sheetViews>
    <sheetView workbookViewId="0">
      <selection activeCell="A30013" sqref="A30013:P30014"/>
    </sheetView>
  </sheetViews>
  <sheetFormatPr defaultColWidth="9" defaultRowHeight="12.75" outlineLevelRow="4" outlineLevelCol="1"/>
  <sheetData>
    <row r="5" spans="1:2">
      <c r="A5" s="20" t="s">
        <v>391</v>
      </c>
      <c r="B5" t="e">
        <f>XLR_ERRNAME</f>
        <v>#NAME?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TABE</vt:lpstr>
      <vt:lpstr>Лист2</vt:lpstr>
      <vt:lpstr>Лист3</vt:lpstr>
      <vt:lpstr>XLR_NoRangeSheet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jamw1ddd</cp:lastModifiedBy>
  <dcterms:created xsi:type="dcterms:W3CDTF">2010-07-20T21:14:00Z</dcterms:created>
  <dcterms:modified xsi:type="dcterms:W3CDTF">2025-09-03T17:17:21Z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